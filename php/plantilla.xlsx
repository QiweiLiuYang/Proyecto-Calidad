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QLTrades\OneDrive\Documentos\2do DAW\Proyecto-Calidad\php\"/>
    </mc:Choice>
  </mc:AlternateContent>
  <xr:revisionPtr revIDLastSave="0" documentId="13_ncr:1_{620819C3-45A0-4178-8F04-CDD02D374AEA}" xr6:coauthVersionLast="47" xr6:coauthVersionMax="47" xr10:uidLastSave="{00000000-0000-0000-0000-000000000000}"/>
  <bookViews>
    <workbookView xWindow="-83" yWindow="0" windowWidth="11866" windowHeight="15683" activeTab="2" xr2:uid="{00000000-000D-0000-FFFF-FFFF00000000}"/>
  </bookViews>
  <sheets>
    <sheet name="INDEX" sheetId="1" r:id="rId1"/>
    <sheet name="ACORDS" sheetId="2" r:id="rId2"/>
    <sheet name="0 AVAL" sheetId="3" r:id="rId3"/>
    <sheet name="1a PARCIAL" sheetId="4" r:id="rId4"/>
    <sheet name="2a PARCIAL" sheetId="5" r:id="rId5"/>
    <sheet name="FE" sheetId="6" r:id="rId6"/>
    <sheet name="PI" sheetId="7" r:id="rId7"/>
    <sheet name="FINAL" sheetId="8" r:id="rId8"/>
    <sheet name="EXTRAORD" sheetId="9" r:id="rId9"/>
    <sheet name="ED01" sheetId="10" r:id="rId10"/>
    <sheet name="ED02" sheetId="11" r:id="rId11"/>
    <sheet name="ED0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3" l="1"/>
  <c r="P31" i="3" s="1"/>
  <c r="N15" i="9"/>
  <c r="M15" i="9"/>
  <c r="N14" i="9"/>
  <c r="M14" i="9"/>
  <c r="L14" i="9"/>
  <c r="L15" i="9" s="1"/>
  <c r="N12" i="9"/>
  <c r="M12" i="9"/>
  <c r="L12" i="9"/>
  <c r="D14" i="9"/>
  <c r="E17" i="9"/>
  <c r="E16" i="9"/>
  <c r="E15" i="9"/>
  <c r="E14" i="9"/>
  <c r="E13" i="9"/>
  <c r="D13" i="9"/>
  <c r="D12" i="9"/>
  <c r="N33" i="8"/>
  <c r="M33" i="8"/>
  <c r="L34" i="8"/>
  <c r="N34" i="8" s="1"/>
  <c r="N31" i="8"/>
  <c r="N30" i="8"/>
  <c r="N29" i="8"/>
  <c r="N28" i="8"/>
  <c r="N27" i="8"/>
  <c r="M31" i="8"/>
  <c r="M30" i="8"/>
  <c r="M29" i="8"/>
  <c r="M28" i="8"/>
  <c r="M27" i="8"/>
  <c r="E32" i="8"/>
  <c r="E31" i="8"/>
  <c r="E30" i="8"/>
  <c r="E29" i="8"/>
  <c r="E28" i="8"/>
  <c r="D28" i="8"/>
  <c r="D27" i="8"/>
  <c r="M30" i="5"/>
  <c r="M27" i="5"/>
  <c r="E28" i="5"/>
  <c r="E29" i="5"/>
  <c r="E30" i="5"/>
  <c r="E31" i="5"/>
  <c r="E27" i="5"/>
  <c r="D27" i="5"/>
  <c r="D26" i="5"/>
  <c r="E27" i="4"/>
  <c r="E28" i="4"/>
  <c r="E29" i="4"/>
  <c r="E30" i="4"/>
  <c r="E31" i="4"/>
  <c r="D27" i="4"/>
  <c r="O31" i="3"/>
  <c r="O30" i="3"/>
  <c r="O29" i="3"/>
  <c r="O27" i="3"/>
  <c r="D26" i="4"/>
  <c r="E27" i="3" l="1"/>
  <c r="P27" i="3"/>
  <c r="E28" i="3"/>
  <c r="E29" i="3"/>
  <c r="P28" i="3"/>
  <c r="E30" i="3"/>
  <c r="K27" i="3"/>
  <c r="P29" i="3"/>
  <c r="K28" i="3"/>
  <c r="K29" i="3"/>
  <c r="P30" i="3"/>
  <c r="M34" i="8"/>
  <c r="B29" i="12" l="1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C28" i="12"/>
  <c r="B28" i="12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C28" i="11"/>
  <c r="B28" i="11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C28" i="10"/>
  <c r="B28" i="10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C24" i="9"/>
  <c r="B24" i="9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C39" i="8"/>
  <c r="B39" i="8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C13" i="7"/>
  <c r="B13" i="7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C12" i="6"/>
  <c r="B12" i="6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C39" i="5"/>
  <c r="B39" i="5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B78" i="9"/>
  <c r="B79" i="9"/>
  <c r="B80" i="9"/>
  <c r="B81" i="9"/>
  <c r="B82" i="9"/>
  <c r="B83" i="9"/>
  <c r="B77" i="9"/>
  <c r="B93" i="8"/>
  <c r="B94" i="8"/>
  <c r="B95" i="8"/>
  <c r="B96" i="8"/>
  <c r="B97" i="8"/>
  <c r="B98" i="8"/>
  <c r="B92" i="8"/>
  <c r="B93" i="5"/>
  <c r="B94" i="5"/>
  <c r="B95" i="5"/>
  <c r="B96" i="5"/>
  <c r="B97" i="5"/>
  <c r="B98" i="5"/>
  <c r="B92" i="5"/>
  <c r="B90" i="4"/>
  <c r="B91" i="4"/>
  <c r="B92" i="4"/>
  <c r="B93" i="4"/>
  <c r="B94" i="4"/>
  <c r="B95" i="4"/>
  <c r="B89" i="4"/>
  <c r="J4" i="12"/>
  <c r="J4" i="11"/>
  <c r="J4" i="10"/>
  <c r="J4" i="9"/>
  <c r="J4" i="8"/>
  <c r="K4" i="7"/>
  <c r="J3" i="12"/>
  <c r="J3" i="11"/>
  <c r="J3" i="10"/>
  <c r="J3" i="9"/>
  <c r="J3" i="8"/>
  <c r="L3" i="6"/>
  <c r="K3" i="7"/>
  <c r="L4" i="6"/>
  <c r="J4" i="5"/>
  <c r="J3" i="5"/>
  <c r="J4" i="4"/>
  <c r="J3" i="4"/>
  <c r="J4" i="3"/>
  <c r="J3" i="3"/>
  <c r="J4" i="2"/>
  <c r="J3" i="2"/>
  <c r="B80" i="3"/>
  <c r="B81" i="3"/>
  <c r="B82" i="3"/>
  <c r="B83" i="3"/>
  <c r="B84" i="3"/>
  <c r="B85" i="3"/>
  <c r="B79" i="3"/>
  <c r="J6" i="12"/>
  <c r="J6" i="11"/>
  <c r="J6" i="10"/>
  <c r="J5" i="9"/>
  <c r="J5" i="8"/>
  <c r="K6" i="7"/>
  <c r="K5" i="7"/>
  <c r="L5" i="6"/>
  <c r="J5" i="5"/>
  <c r="J5" i="4"/>
  <c r="J5" i="3"/>
  <c r="J5" i="2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5" authorId="0" shapeId="0" xr:uid="{76B54C34-01E7-4FA1-9212-6CC18EAFCEBF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5" authorId="0" shapeId="0" xr:uid="{3600E8C8-358E-47AD-B040-CCFDDAE148F1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38" authorId="0" shapeId="0" xr:uid="{EADAD69D-CD15-4DA9-9010-B7C3892435EB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G34" authorId="0" shapeId="0" xr:uid="{E4A67DF3-A80E-44D7-8D17-DF2DBECBCB7F}">
      <text>
        <r>
          <rPr>
            <sz val="10"/>
            <color rgb="FF000000"/>
            <rFont val="Calibri"/>
            <scheme val="minor"/>
          </rPr>
  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  </r>
      </text>
    </comment>
    <comment ref="D38" authorId="0" shapeId="0" xr:uid="{E4BFCA76-DC4F-49F5-8F35-1C9A36508CDE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G15" authorId="0" shapeId="0" xr:uid="{62C372C8-5EA1-4108-8B1C-CF7372509538}">
      <text>
        <r>
          <rPr>
            <sz val="10"/>
            <color rgb="FF000000"/>
            <rFont val="Calibri"/>
            <scheme val="minor"/>
          </rPr>
          <t xml:space="preserve">NO PROMOCIÓ A 2N:
BÀSICA: Els mòduls professionals pendents associats a estàndards de competència superen el 20% de l'horari setmanal i no s'ha superat almenys un dels àmbits distints del professional.
MITJÀ I SUPERIOR: No haver superat almenys el 80% del total de les hores lectives del primer curs (200 hores)
</t>
        </r>
      </text>
    </comment>
    <comment ref="D23" authorId="0" shapeId="0" xr:uid="{A4E7F267-AAEA-4A46-A397-3E4F1D5A7CC1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E8C8C895-2410-4ED7-ACD6-2C58CE5EA320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36FFD486-7A6A-4BD5-B86F-19FE62B407B1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creaa</author>
  </authors>
  <commentList>
    <comment ref="D27" authorId="0" shapeId="0" xr:uid="{B6E72A2A-95D9-4A7D-A997-41B77628B712}">
      <text>
        <r>
          <rPr>
            <b/>
            <sz val="9"/>
            <color indexed="81"/>
            <rFont val="Tahoma"/>
            <family val="2"/>
          </rPr>
          <t>Camp automàtic desde base de dades general
Nou: alumnat nou d'aquest curs
Baixa: alumnat que es dona de baixa de manera oficial. No computa a efectes estadístics.
Alta: alumnat que ja estava matriculat en els estudis el curs anterior (per exemple alumnat de primer que pasa a segon)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<sst xmlns="http://schemas.openxmlformats.org/spreadsheetml/2006/main" count="1369" uniqueCount="155">
  <si>
    <t>PC03.F01 Acta d'avaluació Ed.02 - Setem.25</t>
  </si>
  <si>
    <t>GRUP</t>
  </si>
  <si>
    <t>TUTOR/A</t>
  </si>
  <si>
    <t>CURS ESCOLAR</t>
  </si>
  <si>
    <t>2025-2026</t>
  </si>
  <si>
    <t xml:space="preserve">MÒDUL </t>
  </si>
  <si>
    <t>DOCENT</t>
  </si>
  <si>
    <t>0 AVAL</t>
  </si>
  <si>
    <t>1aPARCIAL</t>
  </si>
  <si>
    <t>2aPARCIAL</t>
  </si>
  <si>
    <t>ACCÉS FE</t>
  </si>
  <si>
    <t>ORDINARIA</t>
  </si>
  <si>
    <t>EXTRAOR.</t>
  </si>
  <si>
    <t>EQUIP DOCENT</t>
  </si>
  <si>
    <t>OBSERVACIONS</t>
  </si>
  <si>
    <t>Assisteix</t>
  </si>
  <si>
    <t/>
  </si>
  <si>
    <t>ALTRES ASSISTENTS (Orientació)</t>
  </si>
  <si>
    <t>ALTRES ASSISTENTS (Direcció d'estudis)</t>
  </si>
  <si>
    <t>ALTRES ASSISTENTS (Tutor/a empresa)</t>
  </si>
  <si>
    <t>ALTRES ASSISTENTS (Representants alumnat)</t>
  </si>
  <si>
    <t>Resum acords adoptats de caràcter col·legiat</t>
  </si>
  <si>
    <t>Avaluació inicial</t>
  </si>
  <si>
    <t>Primera parcial</t>
  </si>
  <si>
    <t>Segona parcial</t>
  </si>
  <si>
    <t>Avaluació final ordinaria</t>
  </si>
  <si>
    <t>Avaluació extraordinària</t>
  </si>
  <si>
    <t>AVALUACIÓ</t>
  </si>
  <si>
    <t>Avaluació 0 (inicial)</t>
  </si>
  <si>
    <t>DATA SESSIÓ</t>
  </si>
  <si>
    <t>1- Informe sobre els aspectes generals del grup</t>
  </si>
  <si>
    <t>Valoració de l'assistència i puntualitat a classe. Gestió del temps i compromís amb l'aprenentatge.</t>
  </si>
  <si>
    <t>Valoració de les competències actitudinals i hàbits de treball.</t>
  </si>
  <si>
    <t>Valoració de l'ambient de la classe, interacció entre l'alumnat: convivència, participació i col·laboració.</t>
  </si>
  <si>
    <t>2- Informació traslladada per l'alumnat</t>
  </si>
  <si>
    <t>Identificació de mòduls i resultats d'aprenentatge amb majors dificultats. Falta de desenvolupament de determinades competències.</t>
  </si>
  <si>
    <t>3- Estadístiques sobre el context del grup</t>
  </si>
  <si>
    <t>Via d'accés de l'alumnat</t>
  </si>
  <si>
    <t>Experiència professional prèvia</t>
  </si>
  <si>
    <t>Total alumnat grup</t>
  </si>
  <si>
    <t>% sobre total</t>
  </si>
  <si>
    <t>Núm. alumnat ESO</t>
  </si>
  <si>
    <t>Núm. alumnat experiència relacionada amb el cicle</t>
  </si>
  <si>
    <t>Núm. baixes confirmades</t>
  </si>
  <si>
    <t>Núm. alumnat batxillerat</t>
  </si>
  <si>
    <t>Núm. alumnat experiència una altra família professional</t>
  </si>
  <si>
    <t>Total alumnat absentista</t>
  </si>
  <si>
    <t>Núm. alumnat Proves d'accés</t>
  </si>
  <si>
    <t>Núm. alumnat sense experiència professional</t>
  </si>
  <si>
    <t>Total alumnat NESE</t>
  </si>
  <si>
    <t>Núm. alumnat altres titulacions</t>
  </si>
  <si>
    <t>No coincideix amb el total del grup</t>
  </si>
  <si>
    <t>Total alumnat amb pendents</t>
  </si>
  <si>
    <t>Total alumnat repetidor</t>
  </si>
  <si>
    <t>4- Anàlisi individual de l'alumnat</t>
  </si>
  <si>
    <t>NIA</t>
  </si>
  <si>
    <t>Alumne/a</t>
  </si>
  <si>
    <t>Estat 1rT</t>
  </si>
  <si>
    <t>NUSS</t>
  </si>
  <si>
    <t>Certif. digital</t>
  </si>
  <si>
    <t>Autorització imatges</t>
  </si>
  <si>
    <t>Alerta sanitària</t>
  </si>
  <si>
    <t>Pendents</t>
  </si>
  <si>
    <t>Repetidor/a</t>
  </si>
  <si>
    <t>NESE</t>
  </si>
  <si>
    <t>Situació familiar</t>
  </si>
  <si>
    <t>Observacions - Seguiment individual - Mesures d'inclusió - Pla recuperació Convalidacions - Exempcions</t>
  </si>
  <si>
    <t>Sí</t>
  </si>
  <si>
    <t>No</t>
  </si>
  <si>
    <t>5- Acords adoptats de caràcter col·legiat per l'equip docent</t>
  </si>
  <si>
    <t xml:space="preserve">Acta elaborada per: XXXXX. XX:XXh </t>
  </si>
  <si>
    <t>En aquest document s'està realitzant un tractament de dades de l'alumnat que està regulat per la normativa vigent en matèria de Protecció de Dades de Caràcter Personal (LOPD 3/2018 i Resolució Conselleria
Educació, Investigació, Cultura i Esport del 28/6/2018). Recorda que les dades han de ser tractats de manera responsable i que has de guardar secret professional i no cedir o divulgar les dades ací contingudes.</t>
  </si>
  <si>
    <t>Valoració de l'ambient de la classe, interacció entre l'alumnat: convivència, participació i la col·laboració.</t>
  </si>
  <si>
    <t>3- Estadístiques</t>
  </si>
  <si>
    <t>Inclou el valor (número) en les cel·les ombrejades en roig</t>
  </si>
  <si>
    <t>Núm. alumnat total grup</t>
  </si>
  <si>
    <t>Observacions:</t>
  </si>
  <si>
    <t>Núm. abandonaments</t>
  </si>
  <si>
    <t>Núm. alumnat NESE</t>
  </si>
  <si>
    <t>Núm. alumnat avaluat</t>
  </si>
  <si>
    <t>Núm. alumnat no avaluat</t>
  </si>
  <si>
    <t>Observacions individuals - Mesures d'atenció a la diversitat  - Eficàcia de les mesures - Avaluar el progrés de l'alumnat en la consecució dels RA i les competències professionals i per a l'ocupabilitat - Plans de recuperació - Pèrdua de l'avaluació contínua</t>
  </si>
  <si>
    <t>5- Seguiments d'acords i mesures adoptades de manera consensuada per l'equip docent en anteriors reunions</t>
  </si>
  <si>
    <t>Seguiment</t>
  </si>
  <si>
    <t>Observacions</t>
  </si>
  <si>
    <t>6- Acords adoptats de caràcter col·legiat per l'equip docent</t>
  </si>
  <si>
    <t>Previsió alumnat amb condicions de no promocionar</t>
  </si>
  <si>
    <t>Núm. alu</t>
  </si>
  <si>
    <t>%</t>
  </si>
  <si>
    <t>Bàsica</t>
  </si>
  <si>
    <t>Els mòduls professionals pendents associats a estàndards de competència superen el 20% de l'horari setmanal i no s'ha superat almenys un dels àmbits distints del professional.</t>
  </si>
  <si>
    <t>Mitjà i superior</t>
  </si>
  <si>
    <r>
      <rPr>
        <i/>
        <sz val="10"/>
        <color rgb="FF000000"/>
        <rFont val="Aptos Display"/>
      </rPr>
      <t xml:space="preserve">No haver superat almenys el 80% del total de les hores lectives del primer curs - </t>
    </r>
    <r>
      <rPr>
        <b/>
        <i/>
        <sz val="10"/>
        <color rgb="FF000000"/>
        <rFont val="Aptos Display"/>
      </rPr>
      <t>200 hores</t>
    </r>
  </si>
  <si>
    <t>Estat 2nT</t>
  </si>
  <si>
    <t>Observacions individuals - Mesures d'atenció a la diversitat  - Eficàcia de les mesures - Avaluar el progrés de l'alumnat en la consecució dels RA i les competències professionals i per a l'ocupabilitat - Plans de recuperació - Pèrdua de l'avaluació contínua - No supera PRL</t>
  </si>
  <si>
    <t>REUNIÓ EQUIP DOCENT</t>
  </si>
  <si>
    <t>Formació Empreses</t>
  </si>
  <si>
    <t>DATA REUNIÓ</t>
  </si>
  <si>
    <t>1- Informació sobre les pràctiques formatives</t>
  </si>
  <si>
    <t>Núm. FE</t>
  </si>
  <si>
    <t>Accés pràctiques</t>
  </si>
  <si>
    <t>Motius de 
no accés</t>
  </si>
  <si>
    <t>Empresa</t>
  </si>
  <si>
    <t>Cesse</t>
  </si>
  <si>
    <t>Motiu cesse</t>
  </si>
  <si>
    <t>Hores FE realitzades</t>
  </si>
  <si>
    <t>FE superada</t>
  </si>
  <si>
    <t>Inserció laboral</t>
  </si>
  <si>
    <t>-</t>
  </si>
  <si>
    <t>00,00% Sí</t>
  </si>
  <si>
    <t>2- Acords adoptats de caràcter col·legiat per l'equip docent</t>
  </si>
  <si>
    <t>Projecte Intermodular</t>
  </si>
  <si>
    <t>1- Informació sobre el Projecte Intermodular</t>
  </si>
  <si>
    <t>Estat 3rT</t>
  </si>
  <si>
    <t>Nota PI 1r curs</t>
  </si>
  <si>
    <t>Nota PI 2n curs</t>
  </si>
  <si>
    <t>Avaluació final</t>
  </si>
  <si>
    <t>Sobre avaluats</t>
  </si>
  <si>
    <t>Núm. alumnat amb tot aprovat</t>
  </si>
  <si>
    <t>Núm. alumnat amb 1 mòdul suspès</t>
  </si>
  <si>
    <t>Núm. alumnat amb 2 mòduls suspesos</t>
  </si>
  <si>
    <t>Núm. alumnat amb 3 mòduls suspesos</t>
  </si>
  <si>
    <t>Núm. alumnat amb 4 o més mòduls suspesos</t>
  </si>
  <si>
    <t>Núm. alu. promociona (1r) - titula (2n)</t>
  </si>
  <si>
    <t>Núm. alu. no promociona (1r) - no titula (2n)</t>
  </si>
  <si>
    <t>Esgota convocatòria</t>
  </si>
  <si>
    <t>Mòdul/s que esgota convocatòria</t>
  </si>
  <si>
    <t>Convocatòria extraordinària</t>
  </si>
  <si>
    <t>Mòduls - RA suspesos</t>
  </si>
  <si>
    <t>Decisió col·legiada</t>
  </si>
  <si>
    <t>Motivació - Observacions - Pla reforç -Extraordinària de gràcia</t>
  </si>
  <si>
    <t>1- Estadístiques</t>
  </si>
  <si>
    <t>% sobre total extraordinària</t>
  </si>
  <si>
    <t>Núm. alumnat amb tot aprovat (final + extraordinària)</t>
  </si>
  <si>
    <t>Núm. alumnat extraordinària</t>
  </si>
  <si>
    <t>Núm. alumnat amb tot aprovat en extraordinària</t>
  </si>
  <si>
    <t>2- Anàlisi individual de l'alumnat</t>
  </si>
  <si>
    <t>Supera mòduls pendents</t>
  </si>
  <si>
    <t>Observacions - Mòduls/RA no superats</t>
  </si>
  <si>
    <t>3- Seguiments d'acords i mesures adoptades de manera consensuada per l'equip docent en anteriors reunions</t>
  </si>
  <si>
    <t>4- Acords adoptats de caràcter col·legiat per l'equip docent</t>
  </si>
  <si>
    <t xml:space="preserve">Reunió equip docent </t>
  </si>
  <si>
    <t>Ed01 - Setem.25</t>
  </si>
  <si>
    <t>1- Seguiment i evolució del grup</t>
  </si>
  <si>
    <t>Revisió d'acords anteriors</t>
  </si>
  <si>
    <t>Anàlisis del rendiment general del grup - Punts forts (aspectes positius en l'aprenentatge, participació, ambient de grup, etc.)</t>
  </si>
  <si>
    <r>
      <t xml:space="preserve">Anàlisi del rendiment general del grup - </t>
    </r>
    <r>
      <rPr>
        <b/>
        <sz val="12"/>
        <color rgb="FF000000"/>
        <rFont val="Aptos Display"/>
        <family val="2"/>
      </rPr>
      <t>Aspectes a millorar</t>
    </r>
    <r>
      <rPr>
        <sz val="12"/>
        <color rgb="FF000000"/>
        <rFont val="Aptos Display"/>
        <family val="2"/>
      </rPr>
      <t xml:space="preserve"> (dificultats observades a nivell grupal ex. falta de participació, problemes de convivència, baixos resultats en determinats RA o mòduls)</t>
    </r>
  </si>
  <si>
    <t>2- Valoració del procés d'ensenyament-aprenentatge</t>
  </si>
  <si>
    <t>3- Anàlisi individual de l'alumnat</t>
  </si>
  <si>
    <t>Estat1rT</t>
  </si>
  <si>
    <t>Valoració del progrés en la consecució dels Resultats d'Aprenentatge (RA) i les competències professionals i per a l'ocupabilitat - Identificació d'alumnat amb progrés no adequat i registre del seguiment i suports individualitzats</t>
  </si>
  <si>
    <t xml:space="preserve">
</t>
  </si>
  <si>
    <t>4- Acords adoptats de caràcter col·legiat per l'equip docent. A partir dels resultats de les avaluacions del procés d'aprenentatge, es redefiniran propostes de millora del procés d'ensenyament.</t>
  </si>
  <si>
    <t>Estat2nT</t>
  </si>
  <si>
    <t>Estat3rT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</si>
</sst>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Calibri"/>
      <family val="2"/>
      <scheme val="minor"/>
    </font>
    <font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theme="1"/>
      <name val="Aptos Display"/>
      <family val="2"/>
    </font>
    <font>
      <sz val="12"/>
      <color rgb="FF000000"/>
      <name val="Apto display"/>
    </font>
    <font>
      <b/>
      <sz val="14"/>
      <color rgb="FF0722BA"/>
      <name val="Aptos Display"/>
      <family val="2"/>
    </font>
    <font>
      <b/>
      <sz val="12"/>
      <color rgb="FF000000"/>
      <name val="Aptos Display"/>
      <family val="2"/>
    </font>
    <font>
      <sz val="14"/>
      <color theme="0"/>
      <name val="Aptos Display"/>
      <family val="2"/>
    </font>
    <font>
      <u/>
      <sz val="12"/>
      <color rgb="FF000000"/>
      <name val="Aptos Display"/>
      <family val="2"/>
    </font>
    <font>
      <sz val="14"/>
      <color rgb="FF000000"/>
      <name val="Aptos Display"/>
      <family val="2"/>
    </font>
    <font>
      <sz val="12"/>
      <color rgb="FFFF0000"/>
      <name val="Apto display"/>
    </font>
    <font>
      <sz val="12"/>
      <color theme="0"/>
      <name val="Aptos Display"/>
      <family val="2"/>
    </font>
    <font>
      <sz val="11"/>
      <color theme="0"/>
      <name val="Aptos Display"/>
      <family val="2"/>
    </font>
    <font>
      <sz val="11"/>
      <color rgb="FF000000"/>
      <name val="Apto display"/>
    </font>
    <font>
      <sz val="11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sz val="16"/>
      <color rgb="FF000000"/>
      <name val="Aptos Display"/>
      <family val="2"/>
    </font>
    <font>
      <sz val="10"/>
      <color theme="1"/>
      <name val="Aptos Display"/>
      <family val="2"/>
    </font>
    <font>
      <sz val="16"/>
      <color theme="0"/>
      <name val="Aptos Display"/>
      <family val="2"/>
    </font>
    <font>
      <sz val="11"/>
      <color rgb="FF242424"/>
      <name val="Consolas"/>
      <charset val="1"/>
    </font>
    <font>
      <sz val="12"/>
      <color rgb="FF000000"/>
      <name val="Calibri Light"/>
      <family val="2"/>
    </font>
    <font>
      <sz val="12"/>
      <color rgb="FF000000"/>
      <name val="Aptos Display"/>
    </font>
    <font>
      <sz val="14"/>
      <color rgb="FF000000"/>
      <name val="Aptos Display"/>
    </font>
    <font>
      <sz val="10"/>
      <color theme="1"/>
      <name val="Aptos Display"/>
    </font>
    <font>
      <sz val="12"/>
      <color theme="0"/>
      <name val="Aptos Display"/>
    </font>
    <font>
      <sz val="16"/>
      <color theme="0"/>
      <name val="Aptos Display"/>
    </font>
    <font>
      <sz val="12"/>
      <name val="Aptos Display"/>
    </font>
    <font>
      <sz val="12"/>
      <color rgb="FFFF0000"/>
      <name val="Aptos Display"/>
    </font>
    <font>
      <b/>
      <sz val="11"/>
      <color rgb="FF000000"/>
      <name val="Aptos Display"/>
    </font>
    <font>
      <i/>
      <sz val="9"/>
      <color theme="1" tint="0.249977111117893"/>
      <name val="Aptos Display"/>
      <family val="2"/>
    </font>
    <font>
      <sz val="11"/>
      <color rgb="FF000000"/>
      <name val="Aptos Display"/>
    </font>
    <font>
      <sz val="11"/>
      <color theme="1" tint="0.249977111117893"/>
      <name val="Aptos Display"/>
      <family val="2"/>
    </font>
    <font>
      <sz val="9"/>
      <color rgb="FF000000"/>
      <name val="Aptos Display"/>
    </font>
    <font>
      <sz val="10"/>
      <color rgb="FF000000"/>
      <name val="Aptos Display"/>
    </font>
    <font>
      <sz val="16"/>
      <color rgb="FF000000"/>
      <name val="Aptos Display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2"/>
      <name val="Aptos Display"/>
      <family val="2"/>
    </font>
    <font>
      <i/>
      <sz val="10"/>
      <color rgb="FF000000"/>
      <name val="Aptos Display"/>
      <family val="2"/>
    </font>
    <font>
      <i/>
      <sz val="9"/>
      <color rgb="FF000000"/>
      <name val="Aptos Display"/>
      <family val="2"/>
    </font>
    <font>
      <i/>
      <sz val="12"/>
      <color rgb="FF000000"/>
      <name val="Aptos Display"/>
      <family val="2"/>
    </font>
    <font>
      <sz val="16"/>
      <color rgb="FF000000"/>
      <name val="Calibri Light"/>
      <family val="2"/>
    </font>
    <font>
      <sz val="10"/>
      <color theme="1"/>
      <name val="Calibri Light"/>
      <family val="2"/>
    </font>
    <font>
      <sz val="12"/>
      <color theme="0"/>
      <name val="Calibri Light"/>
      <family val="2"/>
    </font>
    <font>
      <i/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i/>
      <sz val="10"/>
      <color rgb="FF000000"/>
      <name val="Aptos Display"/>
    </font>
    <font>
      <b/>
      <i/>
      <sz val="10"/>
      <color rgb="FF000000"/>
      <name val="Aptos Display"/>
    </font>
    <font>
      <sz val="12"/>
      <color theme="5" tint="-0.249977111117893"/>
      <name val="Aptos Display"/>
      <family val="2"/>
    </font>
    <font>
      <sz val="10"/>
      <color rgb="FF000000"/>
      <name val="Calibri"/>
      <scheme val="minor"/>
    </font>
    <font>
      <i/>
      <sz val="8"/>
      <color rgb="FF000000"/>
      <name val="Aptos Display"/>
      <family val="2"/>
    </font>
    <font>
      <sz val="11"/>
      <color theme="1" tint="0.34998626667073579"/>
      <name val="Aptos Display"/>
      <family val="2"/>
    </font>
    <font>
      <b/>
      <sz val="18"/>
      <color rgb="FF000000"/>
      <name val="Aptos Display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2" fillId="3" borderId="0" xfId="0" applyFont="1" applyFill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29" fillId="0" borderId="17" xfId="0" applyFont="1" applyBorder="1" applyAlignment="1">
      <alignment vertical="center"/>
    </xf>
    <xf numFmtId="0" fontId="1" fillId="9" borderId="18" xfId="0" applyFont="1" applyFill="1" applyBorder="1" applyAlignment="1">
      <alignment horizontal="center" vertical="center"/>
    </xf>
    <xf numFmtId="10" fontId="30" fillId="3" borderId="19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10" fontId="32" fillId="9" borderId="20" xfId="0" applyNumberFormat="1" applyFont="1" applyFill="1" applyBorder="1" applyAlignment="1">
      <alignment horizontal="center" vertical="center"/>
    </xf>
    <xf numFmtId="10" fontId="32" fillId="9" borderId="10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10" fontId="32" fillId="9" borderId="9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4" fillId="8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" fontId="33" fillId="0" borderId="21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39" fillId="3" borderId="0" xfId="0" applyFont="1" applyFill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40" fillId="0" borderId="0" xfId="0" applyFont="1" applyAlignment="1">
      <alignment horizontal="center" vertical="center"/>
    </xf>
    <xf numFmtId="10" fontId="32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0" fontId="32" fillId="3" borderId="0" xfId="0" applyNumberFormat="1" applyFont="1" applyFill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46" fillId="3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21" fillId="11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10" fontId="32" fillId="11" borderId="0" xfId="0" applyNumberFormat="1" applyFont="1" applyFill="1" applyAlignment="1">
      <alignment horizontal="center" vertical="center"/>
    </xf>
    <xf numFmtId="10" fontId="32" fillId="3" borderId="0" xfId="0" applyNumberFormat="1" applyFont="1" applyFill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6" fillId="11" borderId="0" xfId="0" applyFont="1" applyFill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9" borderId="0" xfId="0" applyFont="1" applyFill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1" fontId="16" fillId="4" borderId="42" xfId="0" applyNumberFormat="1" applyFont="1" applyFill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1" fontId="16" fillId="4" borderId="46" xfId="0" applyNumberFormat="1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10" fontId="15" fillId="9" borderId="0" xfId="0" applyNumberFormat="1" applyFont="1" applyFill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9" fillId="5" borderId="12" xfId="0" applyFont="1" applyFill="1" applyBorder="1" applyAlignment="1">
      <alignment vertical="center"/>
    </xf>
    <xf numFmtId="0" fontId="19" fillId="5" borderId="13" xfId="0" applyFont="1" applyFill="1" applyBorder="1" applyAlignment="1">
      <alignment vertical="center"/>
    </xf>
    <xf numFmtId="0" fontId="19" fillId="5" borderId="14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10" fontId="6" fillId="13" borderId="0" xfId="0" applyNumberFormat="1" applyFont="1" applyFill="1" applyAlignment="1">
      <alignment horizontal="center" vertical="center"/>
    </xf>
    <xf numFmtId="0" fontId="11" fillId="12" borderId="43" xfId="0" applyFont="1" applyFill="1" applyBorder="1" applyAlignment="1">
      <alignment horizontal="center" vertical="center" wrapText="1"/>
    </xf>
    <xf numFmtId="0" fontId="11" fillId="12" borderId="4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11" fillId="12" borderId="5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vertical="center"/>
    </xf>
    <xf numFmtId="0" fontId="1" fillId="4" borderId="43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vertical="center" wrapText="1"/>
    </xf>
    <xf numFmtId="0" fontId="15" fillId="4" borderId="48" xfId="0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10" fontId="32" fillId="9" borderId="5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10" fontId="32" fillId="9" borderId="49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8" borderId="1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60" xfId="0" applyFont="1" applyBorder="1" applyAlignment="1">
      <alignment vertical="center" wrapText="1"/>
    </xf>
    <xf numFmtId="0" fontId="16" fillId="0" borderId="42" xfId="0" applyFont="1" applyBorder="1" applyAlignment="1">
      <alignment vertical="center" wrapText="1"/>
    </xf>
    <xf numFmtId="0" fontId="16" fillId="3" borderId="1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0" fontId="32" fillId="3" borderId="1" xfId="0" applyNumberFormat="1" applyFont="1" applyFill="1" applyBorder="1" applyAlignment="1">
      <alignment horizontal="center" vertical="center"/>
    </xf>
    <xf numFmtId="10" fontId="32" fillId="3" borderId="59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1" fillId="9" borderId="49" xfId="0" applyFont="1" applyFill="1" applyBorder="1" applyAlignment="1">
      <alignment horizontal="center" vertical="center"/>
    </xf>
    <xf numFmtId="10" fontId="32" fillId="9" borderId="61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4" borderId="6" xfId="0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4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5" fillId="5" borderId="4" xfId="0" applyNumberFormat="1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left" vertical="center"/>
    </xf>
    <xf numFmtId="0" fontId="26" fillId="5" borderId="13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2" fillId="8" borderId="16" xfId="0" applyFont="1" applyFill="1" applyBorder="1" applyAlignment="1">
      <alignment horizontal="left" vertical="center"/>
    </xf>
    <xf numFmtId="0" fontId="29" fillId="0" borderId="17" xfId="0" applyFont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1" fillId="3" borderId="0" xfId="0" applyFont="1" applyFill="1" applyAlignment="1">
      <alignment horizontal="right" vertical="center"/>
    </xf>
    <xf numFmtId="0" fontId="31" fillId="3" borderId="17" xfId="0" applyFont="1" applyFill="1" applyBorder="1" applyAlignment="1">
      <alignment horizontal="right" vertical="center"/>
    </xf>
    <xf numFmtId="0" fontId="34" fillId="0" borderId="1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8" borderId="6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26" fillId="5" borderId="13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35" fillId="3" borderId="22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35" fillId="3" borderId="25" xfId="0" applyFont="1" applyFill="1" applyBorder="1" applyAlignment="1">
      <alignment horizontal="center" vertical="center" wrapText="1"/>
    </xf>
    <xf numFmtId="0" fontId="35" fillId="3" borderId="26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2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4" fontId="11" fillId="5" borderId="4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left" vertical="center"/>
    </xf>
    <xf numFmtId="0" fontId="38" fillId="5" borderId="13" xfId="0" applyFont="1" applyFill="1" applyBorder="1" applyAlignment="1">
      <alignment horizontal="left" vertical="center"/>
    </xf>
    <xf numFmtId="0" fontId="38" fillId="5" borderId="14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3" borderId="29" xfId="0" applyFont="1" applyFill="1" applyBorder="1" applyAlignment="1">
      <alignment horizontal="left" vertical="top" wrapText="1"/>
    </xf>
    <xf numFmtId="0" fontId="15" fillId="3" borderId="30" xfId="0" applyFont="1" applyFill="1" applyBorder="1" applyAlignment="1">
      <alignment horizontal="left" vertical="top" wrapText="1"/>
    </xf>
    <xf numFmtId="0" fontId="15" fillId="3" borderId="31" xfId="0" applyFont="1" applyFill="1" applyBorder="1" applyAlignment="1">
      <alignment horizontal="left" vertical="top" wrapText="1"/>
    </xf>
    <xf numFmtId="0" fontId="15" fillId="3" borderId="32" xfId="0" applyFont="1" applyFill="1" applyBorder="1" applyAlignment="1">
      <alignment horizontal="left" vertical="top" wrapText="1"/>
    </xf>
    <xf numFmtId="0" fontId="15" fillId="3" borderId="0" xfId="0" applyFont="1" applyFill="1" applyAlignment="1">
      <alignment horizontal="left" vertical="top" wrapText="1"/>
    </xf>
    <xf numFmtId="0" fontId="15" fillId="3" borderId="33" xfId="0" applyFont="1" applyFill="1" applyBorder="1" applyAlignment="1">
      <alignment horizontal="left" vertical="top" wrapText="1"/>
    </xf>
    <xf numFmtId="0" fontId="15" fillId="3" borderId="35" xfId="0" applyFont="1" applyFill="1" applyBorder="1" applyAlignment="1">
      <alignment horizontal="left" vertical="top" wrapText="1"/>
    </xf>
    <xf numFmtId="0" fontId="15" fillId="3" borderId="36" xfId="0" applyFont="1" applyFill="1" applyBorder="1" applyAlignment="1">
      <alignment horizontal="left" vertical="top" wrapText="1"/>
    </xf>
    <xf numFmtId="0" fontId="15" fillId="3" borderId="37" xfId="0" applyFont="1" applyFill="1" applyBorder="1" applyAlignment="1">
      <alignment horizontal="left" vertical="top" wrapText="1"/>
    </xf>
    <xf numFmtId="0" fontId="22" fillId="0" borderId="4" xfId="0" applyFont="1" applyBorder="1" applyAlignment="1">
      <alignment horizontal="center" vertical="center"/>
    </xf>
    <xf numFmtId="0" fontId="15" fillId="3" borderId="0" xfId="0" applyFont="1" applyFill="1" applyAlignment="1">
      <alignment horizontal="right" vertical="center" wrapText="1"/>
    </xf>
    <xf numFmtId="0" fontId="19" fillId="5" borderId="12" xfId="0" applyFont="1" applyFill="1" applyBorder="1" applyAlignment="1">
      <alignment horizontal="left" vertical="center"/>
    </xf>
    <xf numFmtId="0" fontId="19" fillId="5" borderId="13" xfId="0" applyFont="1" applyFill="1" applyBorder="1" applyAlignment="1">
      <alignment horizontal="left" vertical="center"/>
    </xf>
    <xf numFmtId="0" fontId="19" fillId="5" borderId="14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9" fillId="5" borderId="38" xfId="0" applyFont="1" applyFill="1" applyBorder="1" applyAlignment="1">
      <alignment horizontal="left" vertical="center"/>
    </xf>
    <xf numFmtId="0" fontId="19" fillId="5" borderId="39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9" borderId="1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" fillId="9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5" borderId="4" xfId="0" applyFont="1" applyFill="1" applyBorder="1" applyAlignment="1">
      <alignment horizontal="center" vertical="center"/>
    </xf>
    <xf numFmtId="0" fontId="47" fillId="3" borderId="0" xfId="0" applyFont="1" applyFill="1" applyAlignment="1">
      <alignment horizontal="left" vertical="top" wrapText="1"/>
    </xf>
    <xf numFmtId="0" fontId="39" fillId="3" borderId="0" xfId="0" applyFont="1" applyFill="1" applyAlignment="1">
      <alignment horizontal="left" vertical="top" wrapText="1"/>
    </xf>
    <xf numFmtId="0" fontId="39" fillId="3" borderId="36" xfId="0" applyFont="1" applyFill="1" applyBorder="1" applyAlignment="1">
      <alignment horizontal="left" vertical="top" wrapText="1"/>
    </xf>
    <xf numFmtId="0" fontId="39" fillId="3" borderId="0" xfId="0" applyFont="1" applyFill="1" applyAlignment="1">
      <alignment horizontal="left" vertical="center" wrapText="1"/>
    </xf>
    <xf numFmtId="0" fontId="15" fillId="0" borderId="29" xfId="0" applyFont="1" applyBorder="1" applyAlignment="1">
      <alignment horizontal="left" vertical="top"/>
    </xf>
    <xf numFmtId="0" fontId="15" fillId="0" borderId="30" xfId="0" applyFont="1" applyBorder="1" applyAlignment="1">
      <alignment horizontal="left" vertical="top"/>
    </xf>
    <xf numFmtId="0" fontId="15" fillId="0" borderId="31" xfId="0" applyFont="1" applyBorder="1" applyAlignment="1">
      <alignment horizontal="left" vertical="top"/>
    </xf>
    <xf numFmtId="0" fontId="15" fillId="0" borderId="35" xfId="0" applyFont="1" applyBorder="1" applyAlignment="1">
      <alignment horizontal="left" vertical="top"/>
    </xf>
    <xf numFmtId="0" fontId="15" fillId="0" borderId="36" xfId="0" applyFont="1" applyBorder="1" applyAlignment="1">
      <alignment horizontal="left" vertical="top"/>
    </xf>
    <xf numFmtId="0" fontId="15" fillId="0" borderId="37" xfId="0" applyFont="1" applyBorder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44" xfId="0" applyFont="1" applyFill="1" applyBorder="1" applyAlignment="1">
      <alignment horizontal="center" vertical="center" wrapText="1"/>
    </xf>
    <xf numFmtId="0" fontId="11" fillId="12" borderId="34" xfId="0" applyFont="1" applyFill="1" applyBorder="1" applyAlignment="1">
      <alignment horizontal="center" vertical="center" wrapText="1"/>
    </xf>
    <xf numFmtId="0" fontId="11" fillId="12" borderId="52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left" vertical="center"/>
    </xf>
    <xf numFmtId="0" fontId="17" fillId="3" borderId="55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53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54" xfId="0" applyFont="1" applyBorder="1" applyAlignment="1">
      <alignment horizontal="left" vertical="center" wrapText="1"/>
    </xf>
    <xf numFmtId="0" fontId="1" fillId="9" borderId="62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0" borderId="4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4" xfId="0" applyFont="1" applyBorder="1" applyAlignment="1">
      <alignment horizontal="left" vertical="top" wrapText="1"/>
    </xf>
    <xf numFmtId="0" fontId="1" fillId="3" borderId="51" xfId="0" applyFont="1" applyFill="1" applyBorder="1" applyAlignment="1">
      <alignment horizontal="left" vertical="top" wrapText="1"/>
    </xf>
    <xf numFmtId="0" fontId="1" fillId="3" borderId="34" xfId="0" applyFont="1" applyFill="1" applyBorder="1" applyAlignment="1">
      <alignment horizontal="left" vertical="top" wrapText="1"/>
    </xf>
    <xf numFmtId="0" fontId="1" fillId="3" borderId="52" xfId="0" applyFont="1" applyFill="1" applyBorder="1" applyAlignment="1">
      <alignment horizontal="left" vertical="top" wrapText="1"/>
    </xf>
    <xf numFmtId="0" fontId="1" fillId="3" borderId="53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54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left" vertical="top" wrapText="1"/>
    </xf>
    <xf numFmtId="0" fontId="19" fillId="5" borderId="38" xfId="0" applyFont="1" applyFill="1" applyBorder="1" applyAlignment="1">
      <alignment horizontal="left" vertical="center" wrapText="1"/>
    </xf>
    <xf numFmtId="0" fontId="19" fillId="5" borderId="39" xfId="0" applyFont="1" applyFill="1" applyBorder="1" applyAlignment="1">
      <alignment horizontal="left" vertical="center" wrapText="1"/>
    </xf>
    <xf numFmtId="0" fontId="19" fillId="5" borderId="41" xfId="0" applyFont="1" applyFill="1" applyBorder="1" applyAlignment="1">
      <alignment horizontal="left" vertical="center" wrapText="1"/>
    </xf>
  </cellXfs>
  <cellStyles count="1">
    <cellStyle name="Normal" xfId="0" builtinId="0"/>
  </cellStyles>
  <dxfs count="39"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 patternType="solid">
          <bgColor rgb="FFED6B6B"/>
        </patternFill>
      </fill>
    </dxf>
    <dxf>
      <font>
        <color theme="0"/>
      </font>
      <fill>
        <patternFill patternType="solid">
          <bgColor rgb="FFED6B6B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solid">
          <bgColor rgb="FFED6B6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B43"/>
  <sheetViews>
    <sheetView workbookViewId="0">
      <selection activeCell="G3" sqref="G3:I4"/>
    </sheetView>
  </sheetViews>
  <sheetFormatPr baseColWidth="10" defaultColWidth="0" defaultRowHeight="15" zeroHeight="1"/>
  <cols>
    <col min="1" max="1" width="3.265625" style="5" customWidth="1"/>
    <col min="2" max="2" width="46" style="5" customWidth="1"/>
    <col min="3" max="3" width="46" style="12" customWidth="1"/>
    <col min="4" max="12" width="11.73046875" style="5" customWidth="1"/>
    <col min="13" max="13" width="31.73046875" style="5" customWidth="1"/>
    <col min="14" max="14" width="12.59765625" style="5" customWidth="1"/>
    <col min="15" max="22" width="0" style="5" hidden="1" customWidth="1"/>
    <col min="23" max="184" width="4.3984375" style="5" hidden="1" customWidth="1"/>
    <col min="185" max="16384" width="0" style="5" hidden="1"/>
  </cols>
  <sheetData>
    <row r="1" spans="2:13" ht="15.75" customHeight="1">
      <c r="B1" s="1"/>
      <c r="C1" s="2"/>
      <c r="D1" s="1"/>
      <c r="E1" s="1"/>
      <c r="F1" s="3" t="s">
        <v>0</v>
      </c>
      <c r="G1" s="3"/>
      <c r="H1" s="3"/>
      <c r="I1" s="4"/>
      <c r="J1" s="4"/>
      <c r="K1" s="4"/>
      <c r="L1" s="4"/>
      <c r="M1" s="3"/>
    </row>
    <row r="2" spans="2:13" ht="15.75" customHeight="1">
      <c r="B2" s="188" t="e" vm="1">
        <v>#VALUE!</v>
      </c>
      <c r="C2" s="188" t="e" vm="2">
        <v>#VALUE!</v>
      </c>
      <c r="D2" s="189"/>
      <c r="E2" s="1"/>
      <c r="F2" s="1"/>
      <c r="G2" s="1"/>
      <c r="H2" s="1"/>
      <c r="I2" s="1"/>
      <c r="J2" s="1"/>
      <c r="K2" s="1"/>
      <c r="L2" s="1"/>
      <c r="M2" s="1"/>
    </row>
    <row r="3" spans="2:13" ht="15.75" customHeight="1">
      <c r="B3" s="188"/>
      <c r="C3" s="188"/>
      <c r="D3" s="190"/>
      <c r="E3" s="191" t="s">
        <v>1</v>
      </c>
      <c r="F3" s="191"/>
      <c r="G3" s="192"/>
      <c r="H3" s="192"/>
      <c r="I3" s="192"/>
      <c r="J3" s="7"/>
      <c r="K3" s="8"/>
      <c r="L3" s="8"/>
      <c r="M3" s="8"/>
    </row>
    <row r="4" spans="2:13" ht="15.75" customHeight="1">
      <c r="B4" s="188"/>
      <c r="C4" s="188"/>
      <c r="D4" s="190"/>
      <c r="E4" s="191" t="s">
        <v>2</v>
      </c>
      <c r="F4" s="191"/>
      <c r="G4" s="193"/>
      <c r="H4" s="193"/>
      <c r="I4" s="193"/>
      <c r="J4" s="9"/>
      <c r="K4" s="9"/>
      <c r="L4" s="9"/>
      <c r="M4" s="9"/>
    </row>
    <row r="5" spans="2:13" ht="15.75" customHeight="1" thickBot="1">
      <c r="B5" s="188"/>
      <c r="C5" s="188"/>
      <c r="D5" s="190"/>
      <c r="E5" s="194" t="s">
        <v>3</v>
      </c>
      <c r="F5" s="194"/>
      <c r="G5" s="195" t="s">
        <v>4</v>
      </c>
      <c r="H5" s="195"/>
      <c r="I5" s="195"/>
      <c r="J5" s="10"/>
      <c r="K5" s="7"/>
      <c r="L5" s="7"/>
      <c r="M5" s="7"/>
    </row>
    <row r="6" spans="2:13" ht="15.75" customHeight="1">
      <c r="B6" s="188"/>
      <c r="C6" s="188"/>
      <c r="D6" s="190"/>
      <c r="E6" s="1"/>
      <c r="F6" s="1"/>
      <c r="G6" s="1"/>
      <c r="H6" s="1"/>
      <c r="I6" s="1"/>
      <c r="J6" s="1"/>
      <c r="K6" s="1"/>
      <c r="L6" s="1"/>
      <c r="M6" s="1"/>
    </row>
    <row r="7" spans="2:13">
      <c r="C7" s="11"/>
      <c r="D7" s="11"/>
      <c r="G7" s="185"/>
      <c r="H7" s="186"/>
      <c r="I7" s="186"/>
      <c r="J7" s="186"/>
      <c r="K7" s="186"/>
      <c r="L7" s="186"/>
      <c r="M7" s="186"/>
    </row>
    <row r="8" spans="2:13" ht="15.4" thickBot="1">
      <c r="H8" s="13"/>
    </row>
    <row r="9" spans="2:13" ht="6.75" customHeight="1"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</row>
    <row r="10" spans="2:13" s="17" customFormat="1" ht="32.25" customHeight="1">
      <c r="B10" s="14" t="s">
        <v>5</v>
      </c>
      <c r="C10" s="14" t="s">
        <v>6</v>
      </c>
      <c r="D10" s="15" t="s">
        <v>7</v>
      </c>
      <c r="E10" s="15" t="s">
        <v>8</v>
      </c>
      <c r="F10" s="15" t="s">
        <v>9</v>
      </c>
      <c r="G10" s="15" t="s">
        <v>10</v>
      </c>
      <c r="H10" s="15" t="s">
        <v>11</v>
      </c>
      <c r="I10" s="15" t="s">
        <v>12</v>
      </c>
      <c r="J10" s="16" t="s">
        <v>13</v>
      </c>
      <c r="K10" s="16" t="s">
        <v>13</v>
      </c>
      <c r="L10" s="16" t="s">
        <v>13</v>
      </c>
      <c r="M10" s="15" t="s">
        <v>14</v>
      </c>
    </row>
    <row r="11" spans="2:13" s="17" customFormat="1" ht="24" customHeight="1">
      <c r="B11" s="18"/>
      <c r="C11" s="18"/>
      <c r="D11" s="19">
        <v>45901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20"/>
    </row>
    <row r="12" spans="2:13" ht="36" customHeight="1">
      <c r="B12" s="21" t="s">
        <v>2</v>
      </c>
      <c r="C12" s="22">
        <f>G4</f>
        <v>0</v>
      </c>
      <c r="D12" s="23" t="s">
        <v>15</v>
      </c>
      <c r="E12" s="23" t="s">
        <v>15</v>
      </c>
      <c r="F12" s="23" t="s">
        <v>15</v>
      </c>
      <c r="G12" s="23" t="s">
        <v>15</v>
      </c>
      <c r="H12" s="23" t="s">
        <v>15</v>
      </c>
      <c r="I12" s="23" t="s">
        <v>15</v>
      </c>
      <c r="J12" s="23" t="s">
        <v>15</v>
      </c>
      <c r="K12" s="23" t="s">
        <v>15</v>
      </c>
      <c r="L12" s="23" t="s">
        <v>15</v>
      </c>
      <c r="M12" s="24"/>
    </row>
    <row r="13" spans="2:13" ht="36" customHeight="1">
      <c r="B13" s="25"/>
      <c r="C13" s="26"/>
      <c r="D13" s="23" t="s">
        <v>15</v>
      </c>
      <c r="E13" s="23" t="s">
        <v>15</v>
      </c>
      <c r="F13" s="23" t="s">
        <v>15</v>
      </c>
      <c r="G13" s="23" t="s">
        <v>15</v>
      </c>
      <c r="H13" s="23" t="s">
        <v>15</v>
      </c>
      <c r="I13" s="23" t="s">
        <v>15</v>
      </c>
      <c r="J13" s="23" t="s">
        <v>15</v>
      </c>
      <c r="K13" s="23" t="s">
        <v>15</v>
      </c>
      <c r="L13" s="23" t="s">
        <v>15</v>
      </c>
      <c r="M13" s="24"/>
    </row>
    <row r="14" spans="2:13" ht="36" customHeight="1">
      <c r="B14" s="25"/>
      <c r="C14" s="26"/>
      <c r="D14" s="23" t="s">
        <v>15</v>
      </c>
      <c r="E14" s="23" t="s">
        <v>15</v>
      </c>
      <c r="F14" s="23" t="s">
        <v>15</v>
      </c>
      <c r="G14" s="23" t="s">
        <v>15</v>
      </c>
      <c r="H14" s="23" t="s">
        <v>15</v>
      </c>
      <c r="I14" s="23" t="s">
        <v>15</v>
      </c>
      <c r="J14" s="23" t="s">
        <v>15</v>
      </c>
      <c r="K14" s="23" t="s">
        <v>15</v>
      </c>
      <c r="L14" s="23" t="s">
        <v>15</v>
      </c>
      <c r="M14" s="24"/>
    </row>
    <row r="15" spans="2:13" ht="36" customHeight="1">
      <c r="B15" s="25"/>
      <c r="C15" s="26"/>
      <c r="D15" s="23" t="s">
        <v>15</v>
      </c>
      <c r="E15" s="23" t="s">
        <v>15</v>
      </c>
      <c r="F15" s="23" t="s">
        <v>15</v>
      </c>
      <c r="G15" s="23" t="s">
        <v>15</v>
      </c>
      <c r="H15" s="23" t="s">
        <v>15</v>
      </c>
      <c r="I15" s="23" t="s">
        <v>15</v>
      </c>
      <c r="J15" s="23" t="s">
        <v>15</v>
      </c>
      <c r="K15" s="23" t="s">
        <v>15</v>
      </c>
      <c r="L15" s="23" t="s">
        <v>15</v>
      </c>
      <c r="M15" s="24"/>
    </row>
    <row r="16" spans="2:13" ht="36" customHeight="1">
      <c r="B16" s="25"/>
      <c r="C16" s="26"/>
      <c r="D16" s="23" t="s">
        <v>15</v>
      </c>
      <c r="E16" s="23" t="s">
        <v>15</v>
      </c>
      <c r="F16" s="23" t="s">
        <v>15</v>
      </c>
      <c r="G16" s="23" t="s">
        <v>15</v>
      </c>
      <c r="H16" s="23" t="s">
        <v>15</v>
      </c>
      <c r="I16" s="23" t="s">
        <v>15</v>
      </c>
      <c r="J16" s="23" t="s">
        <v>15</v>
      </c>
      <c r="K16" s="23" t="s">
        <v>15</v>
      </c>
      <c r="L16" s="23" t="s">
        <v>15</v>
      </c>
      <c r="M16" s="24"/>
    </row>
    <row r="17" spans="2:13" ht="36" customHeight="1">
      <c r="B17" s="25"/>
      <c r="C17" s="26"/>
      <c r="D17" s="23" t="s">
        <v>15</v>
      </c>
      <c r="E17" s="23" t="s">
        <v>15</v>
      </c>
      <c r="F17" s="23" t="s">
        <v>15</v>
      </c>
      <c r="G17" s="23" t="s">
        <v>15</v>
      </c>
      <c r="H17" s="23" t="s">
        <v>15</v>
      </c>
      <c r="I17" s="23" t="s">
        <v>15</v>
      </c>
      <c r="J17" s="23" t="s">
        <v>15</v>
      </c>
      <c r="K17" s="23" t="s">
        <v>15</v>
      </c>
      <c r="L17" s="23" t="s">
        <v>15</v>
      </c>
      <c r="M17" s="24"/>
    </row>
    <row r="18" spans="2:13" ht="36" customHeight="1">
      <c r="B18" s="25"/>
      <c r="C18" s="26"/>
      <c r="D18" s="23" t="s">
        <v>15</v>
      </c>
      <c r="E18" s="23" t="s">
        <v>15</v>
      </c>
      <c r="F18" s="23" t="s">
        <v>15</v>
      </c>
      <c r="G18" s="23" t="s">
        <v>15</v>
      </c>
      <c r="H18" s="23" t="s">
        <v>15</v>
      </c>
      <c r="I18" s="23" t="s">
        <v>15</v>
      </c>
      <c r="J18" s="23" t="s">
        <v>15</v>
      </c>
      <c r="K18" s="23" t="s">
        <v>15</v>
      </c>
      <c r="L18" s="23" t="s">
        <v>15</v>
      </c>
      <c r="M18" s="24"/>
    </row>
    <row r="19" spans="2:13" ht="36" customHeight="1">
      <c r="B19" s="25"/>
      <c r="C19" s="26"/>
      <c r="D19" s="23" t="s">
        <v>15</v>
      </c>
      <c r="E19" s="23" t="s">
        <v>15</v>
      </c>
      <c r="F19" s="23" t="s">
        <v>15</v>
      </c>
      <c r="G19" s="23" t="s">
        <v>15</v>
      </c>
      <c r="H19" s="23" t="s">
        <v>15</v>
      </c>
      <c r="I19" s="23" t="s">
        <v>15</v>
      </c>
      <c r="J19" s="23" t="s">
        <v>15</v>
      </c>
      <c r="K19" s="23" t="s">
        <v>15</v>
      </c>
      <c r="L19" s="23" t="s">
        <v>15</v>
      </c>
      <c r="M19" s="24"/>
    </row>
    <row r="20" spans="2:13" ht="36" customHeight="1">
      <c r="B20" s="25"/>
      <c r="C20" s="26"/>
      <c r="D20" s="23" t="s">
        <v>15</v>
      </c>
      <c r="E20" s="23" t="s">
        <v>15</v>
      </c>
      <c r="F20" s="23" t="s">
        <v>15</v>
      </c>
      <c r="G20" s="23" t="s">
        <v>15</v>
      </c>
      <c r="H20" s="23" t="s">
        <v>15</v>
      </c>
      <c r="I20" s="23" t="s">
        <v>15</v>
      </c>
      <c r="J20" s="23" t="s">
        <v>15</v>
      </c>
      <c r="K20" s="23" t="s">
        <v>15</v>
      </c>
      <c r="L20" s="23" t="s">
        <v>15</v>
      </c>
      <c r="M20" s="24"/>
    </row>
    <row r="21" spans="2:13" ht="36" customHeight="1">
      <c r="B21" s="25"/>
      <c r="C21" s="26"/>
      <c r="D21" s="23" t="s">
        <v>15</v>
      </c>
      <c r="E21" s="23" t="s">
        <v>15</v>
      </c>
      <c r="F21" s="23" t="s">
        <v>15</v>
      </c>
      <c r="G21" s="23" t="s">
        <v>15</v>
      </c>
      <c r="H21" s="23" t="s">
        <v>15</v>
      </c>
      <c r="I21" s="23" t="s">
        <v>15</v>
      </c>
      <c r="J21" s="23" t="s">
        <v>15</v>
      </c>
      <c r="K21" s="23" t="s">
        <v>15</v>
      </c>
      <c r="L21" s="23" t="s">
        <v>15</v>
      </c>
      <c r="M21" s="24"/>
    </row>
    <row r="22" spans="2:13" ht="36" customHeight="1">
      <c r="B22" s="25"/>
      <c r="C22" s="26"/>
      <c r="D22" s="23" t="s">
        <v>15</v>
      </c>
      <c r="E22" s="23" t="s">
        <v>15</v>
      </c>
      <c r="F22" s="23" t="s">
        <v>15</v>
      </c>
      <c r="G22" s="23" t="s">
        <v>15</v>
      </c>
      <c r="H22" s="23" t="s">
        <v>15</v>
      </c>
      <c r="I22" s="23" t="s">
        <v>15</v>
      </c>
      <c r="J22" s="23" t="s">
        <v>15</v>
      </c>
      <c r="K22" s="23" t="s">
        <v>15</v>
      </c>
      <c r="L22" s="23" t="s">
        <v>15</v>
      </c>
      <c r="M22" s="24"/>
    </row>
    <row r="23" spans="2:13" ht="36" customHeight="1">
      <c r="B23" s="25"/>
      <c r="C23" s="26"/>
      <c r="D23" s="23" t="s">
        <v>15</v>
      </c>
      <c r="E23" s="23" t="s">
        <v>15</v>
      </c>
      <c r="F23" s="23" t="s">
        <v>15</v>
      </c>
      <c r="G23" s="23" t="s">
        <v>15</v>
      </c>
      <c r="H23" s="23" t="s">
        <v>15</v>
      </c>
      <c r="I23" s="23" t="s">
        <v>15</v>
      </c>
      <c r="J23" s="23" t="s">
        <v>15</v>
      </c>
      <c r="K23" s="23" t="s">
        <v>15</v>
      </c>
      <c r="L23" s="23" t="s">
        <v>15</v>
      </c>
      <c r="M23" s="24"/>
    </row>
    <row r="24" spans="2:13" ht="36" customHeight="1">
      <c r="B24" s="25"/>
      <c r="C24" s="26"/>
      <c r="D24" s="23" t="s">
        <v>15</v>
      </c>
      <c r="E24" s="23" t="s">
        <v>15</v>
      </c>
      <c r="F24" s="23" t="s">
        <v>15</v>
      </c>
      <c r="G24" s="23" t="s">
        <v>15</v>
      </c>
      <c r="H24" s="23" t="s">
        <v>15</v>
      </c>
      <c r="I24" s="23" t="s">
        <v>15</v>
      </c>
      <c r="J24" s="23" t="s">
        <v>15</v>
      </c>
      <c r="K24" s="23" t="s">
        <v>15</v>
      </c>
      <c r="L24" s="23" t="s">
        <v>15</v>
      </c>
      <c r="M24" s="24"/>
    </row>
    <row r="25" spans="2:13" ht="36" customHeight="1">
      <c r="B25" s="25" t="s">
        <v>16</v>
      </c>
      <c r="C25" s="26" t="s">
        <v>16</v>
      </c>
      <c r="D25" s="23" t="s">
        <v>15</v>
      </c>
      <c r="E25" s="23" t="s">
        <v>15</v>
      </c>
      <c r="F25" s="23" t="s">
        <v>15</v>
      </c>
      <c r="G25" s="23" t="s">
        <v>15</v>
      </c>
      <c r="H25" s="23" t="s">
        <v>15</v>
      </c>
      <c r="I25" s="23" t="s">
        <v>15</v>
      </c>
      <c r="J25" s="23" t="s">
        <v>15</v>
      </c>
      <c r="K25" s="23" t="s">
        <v>15</v>
      </c>
      <c r="L25" s="23" t="s">
        <v>15</v>
      </c>
      <c r="M25" s="24"/>
    </row>
    <row r="26" spans="2:13" ht="36" customHeight="1">
      <c r="B26" s="25" t="s">
        <v>16</v>
      </c>
      <c r="C26" s="26" t="s">
        <v>16</v>
      </c>
      <c r="D26" s="23" t="s">
        <v>15</v>
      </c>
      <c r="E26" s="23" t="s">
        <v>15</v>
      </c>
      <c r="F26" s="23" t="s">
        <v>15</v>
      </c>
      <c r="G26" s="23" t="s">
        <v>15</v>
      </c>
      <c r="H26" s="23" t="s">
        <v>15</v>
      </c>
      <c r="I26" s="23" t="s">
        <v>15</v>
      </c>
      <c r="J26" s="23" t="s">
        <v>15</v>
      </c>
      <c r="K26" s="23" t="s">
        <v>15</v>
      </c>
      <c r="L26" s="23" t="s">
        <v>15</v>
      </c>
      <c r="M26" s="24"/>
    </row>
    <row r="27" spans="2:13" ht="36" customHeight="1">
      <c r="B27" s="25" t="s">
        <v>16</v>
      </c>
      <c r="C27" s="26" t="s">
        <v>16</v>
      </c>
      <c r="D27" s="23" t="s">
        <v>15</v>
      </c>
      <c r="E27" s="23" t="s">
        <v>15</v>
      </c>
      <c r="F27" s="23" t="s">
        <v>15</v>
      </c>
      <c r="G27" s="23" t="s">
        <v>15</v>
      </c>
      <c r="H27" s="23" t="s">
        <v>15</v>
      </c>
      <c r="I27" s="23" t="s">
        <v>15</v>
      </c>
      <c r="J27" s="23" t="s">
        <v>15</v>
      </c>
      <c r="K27" s="23" t="s">
        <v>15</v>
      </c>
      <c r="L27" s="23" t="s">
        <v>15</v>
      </c>
      <c r="M27" s="24"/>
    </row>
    <row r="28" spans="2:13" ht="36" customHeight="1">
      <c r="B28" s="25" t="s">
        <v>16</v>
      </c>
      <c r="C28" s="26" t="s">
        <v>16</v>
      </c>
      <c r="D28" s="23" t="s">
        <v>15</v>
      </c>
      <c r="E28" s="23" t="s">
        <v>15</v>
      </c>
      <c r="F28" s="23" t="s">
        <v>15</v>
      </c>
      <c r="G28" s="23" t="s">
        <v>15</v>
      </c>
      <c r="H28" s="23" t="s">
        <v>15</v>
      </c>
      <c r="I28" s="23" t="s">
        <v>15</v>
      </c>
      <c r="J28" s="23" t="s">
        <v>15</v>
      </c>
      <c r="K28" s="23" t="s">
        <v>15</v>
      </c>
      <c r="L28" s="23" t="s">
        <v>15</v>
      </c>
      <c r="M28" s="24"/>
    </row>
    <row r="29" spans="2:13" ht="36" customHeight="1">
      <c r="B29" s="25" t="s">
        <v>16</v>
      </c>
      <c r="C29" s="26" t="s">
        <v>16</v>
      </c>
      <c r="D29" s="23" t="s">
        <v>15</v>
      </c>
      <c r="E29" s="23" t="s">
        <v>15</v>
      </c>
      <c r="F29" s="23" t="s">
        <v>15</v>
      </c>
      <c r="G29" s="23" t="s">
        <v>15</v>
      </c>
      <c r="H29" s="23" t="s">
        <v>15</v>
      </c>
      <c r="I29" s="23" t="s">
        <v>15</v>
      </c>
      <c r="J29" s="23" t="s">
        <v>15</v>
      </c>
      <c r="K29" s="23" t="s">
        <v>15</v>
      </c>
      <c r="L29" s="23" t="s">
        <v>15</v>
      </c>
      <c r="M29" s="24"/>
    </row>
    <row r="30" spans="2:13" ht="36" customHeight="1">
      <c r="B30" s="25" t="s">
        <v>16</v>
      </c>
      <c r="C30" s="26" t="s">
        <v>16</v>
      </c>
      <c r="D30" s="23" t="s">
        <v>15</v>
      </c>
      <c r="E30" s="23" t="s">
        <v>15</v>
      </c>
      <c r="F30" s="23" t="s">
        <v>15</v>
      </c>
      <c r="G30" s="23" t="s">
        <v>15</v>
      </c>
      <c r="H30" s="23" t="s">
        <v>15</v>
      </c>
      <c r="I30" s="23" t="s">
        <v>15</v>
      </c>
      <c r="J30" s="23" t="s">
        <v>15</v>
      </c>
      <c r="K30" s="23" t="s">
        <v>15</v>
      </c>
      <c r="L30" s="23" t="s">
        <v>15</v>
      </c>
      <c r="M30" s="24"/>
    </row>
    <row r="31" spans="2:13" ht="36" customHeight="1">
      <c r="B31" s="25" t="s">
        <v>16</v>
      </c>
      <c r="C31" s="26" t="s">
        <v>16</v>
      </c>
      <c r="D31" s="23" t="s">
        <v>15</v>
      </c>
      <c r="E31" s="23" t="s">
        <v>15</v>
      </c>
      <c r="F31" s="23" t="s">
        <v>15</v>
      </c>
      <c r="G31" s="23" t="s">
        <v>15</v>
      </c>
      <c r="H31" s="23" t="s">
        <v>15</v>
      </c>
      <c r="I31" s="23" t="s">
        <v>15</v>
      </c>
      <c r="J31" s="23" t="s">
        <v>15</v>
      </c>
      <c r="K31" s="23" t="s">
        <v>15</v>
      </c>
      <c r="L31" s="23" t="s">
        <v>15</v>
      </c>
      <c r="M31" s="24"/>
    </row>
    <row r="32" spans="2:13" ht="36" customHeight="1">
      <c r="B32" s="25" t="s">
        <v>16</v>
      </c>
      <c r="C32" s="26" t="s">
        <v>16</v>
      </c>
      <c r="D32" s="23" t="s">
        <v>15</v>
      </c>
      <c r="E32" s="23" t="s">
        <v>15</v>
      </c>
      <c r="F32" s="23" t="s">
        <v>15</v>
      </c>
      <c r="G32" s="23" t="s">
        <v>15</v>
      </c>
      <c r="H32" s="23" t="s">
        <v>15</v>
      </c>
      <c r="I32" s="23" t="s">
        <v>15</v>
      </c>
      <c r="J32" s="23" t="s">
        <v>15</v>
      </c>
      <c r="K32" s="23" t="s">
        <v>15</v>
      </c>
      <c r="L32" s="23" t="s">
        <v>15</v>
      </c>
      <c r="M32" s="24"/>
    </row>
    <row r="33" spans="2:13" ht="36" customHeight="1">
      <c r="B33" s="25" t="s">
        <v>16</v>
      </c>
      <c r="C33" s="26" t="s">
        <v>16</v>
      </c>
      <c r="D33" s="23" t="s">
        <v>15</v>
      </c>
      <c r="E33" s="23" t="s">
        <v>15</v>
      </c>
      <c r="F33" s="23" t="s">
        <v>15</v>
      </c>
      <c r="G33" s="23" t="s">
        <v>15</v>
      </c>
      <c r="H33" s="23" t="s">
        <v>15</v>
      </c>
      <c r="I33" s="23" t="s">
        <v>15</v>
      </c>
      <c r="J33" s="23" t="s">
        <v>15</v>
      </c>
      <c r="K33" s="23" t="s">
        <v>15</v>
      </c>
      <c r="L33" s="23" t="s">
        <v>15</v>
      </c>
      <c r="M33" s="24"/>
    </row>
    <row r="34" spans="2:13" ht="36" customHeight="1">
      <c r="B34" s="25" t="s">
        <v>16</v>
      </c>
      <c r="C34" s="26" t="s">
        <v>16</v>
      </c>
      <c r="D34" s="23" t="s">
        <v>15</v>
      </c>
      <c r="E34" s="23" t="s">
        <v>15</v>
      </c>
      <c r="F34" s="23" t="s">
        <v>15</v>
      </c>
      <c r="G34" s="23" t="s">
        <v>15</v>
      </c>
      <c r="H34" s="23" t="s">
        <v>15</v>
      </c>
      <c r="I34" s="23" t="s">
        <v>15</v>
      </c>
      <c r="J34" s="23" t="s">
        <v>15</v>
      </c>
      <c r="K34" s="23" t="s">
        <v>15</v>
      </c>
      <c r="L34" s="23" t="s">
        <v>15</v>
      </c>
      <c r="M34" s="24"/>
    </row>
    <row r="35" spans="2:13" ht="36" customHeight="1">
      <c r="B35" s="25" t="s">
        <v>16</v>
      </c>
      <c r="C35" s="26" t="s">
        <v>16</v>
      </c>
      <c r="D35" s="23" t="s">
        <v>15</v>
      </c>
      <c r="E35" s="23" t="s">
        <v>15</v>
      </c>
      <c r="F35" s="23" t="s">
        <v>15</v>
      </c>
      <c r="G35" s="23" t="s">
        <v>15</v>
      </c>
      <c r="H35" s="23" t="s">
        <v>15</v>
      </c>
      <c r="I35" s="23" t="s">
        <v>15</v>
      </c>
      <c r="J35" s="23" t="s">
        <v>15</v>
      </c>
      <c r="K35" s="23" t="s">
        <v>15</v>
      </c>
      <c r="L35" s="23" t="s">
        <v>15</v>
      </c>
      <c r="M35" s="24"/>
    </row>
    <row r="36" spans="2:13" ht="36" customHeight="1">
      <c r="B36" s="27" t="s">
        <v>17</v>
      </c>
      <c r="C36" s="28"/>
      <c r="D36" s="23" t="s">
        <v>15</v>
      </c>
      <c r="E36" s="23" t="s">
        <v>15</v>
      </c>
      <c r="F36" s="23" t="s">
        <v>15</v>
      </c>
      <c r="G36" s="23" t="s">
        <v>15</v>
      </c>
      <c r="H36" s="23" t="s">
        <v>15</v>
      </c>
      <c r="I36" s="23" t="s">
        <v>15</v>
      </c>
      <c r="J36" s="23" t="s">
        <v>15</v>
      </c>
      <c r="K36" s="23" t="s">
        <v>15</v>
      </c>
      <c r="L36" s="23" t="s">
        <v>15</v>
      </c>
      <c r="M36" s="24"/>
    </row>
    <row r="37" spans="2:13" ht="36" customHeight="1">
      <c r="B37" s="27" t="s">
        <v>18</v>
      </c>
      <c r="C37" s="28"/>
      <c r="D37" s="23" t="s">
        <v>15</v>
      </c>
      <c r="E37" s="23" t="s">
        <v>15</v>
      </c>
      <c r="F37" s="23" t="s">
        <v>15</v>
      </c>
      <c r="G37" s="23" t="s">
        <v>15</v>
      </c>
      <c r="H37" s="23" t="s">
        <v>15</v>
      </c>
      <c r="I37" s="23" t="s">
        <v>15</v>
      </c>
      <c r="J37" s="23" t="s">
        <v>15</v>
      </c>
      <c r="K37" s="23" t="s">
        <v>15</v>
      </c>
      <c r="L37" s="23" t="s">
        <v>15</v>
      </c>
      <c r="M37" s="24"/>
    </row>
    <row r="38" spans="2:13" ht="36" customHeight="1">
      <c r="B38" s="27" t="s">
        <v>19</v>
      </c>
      <c r="C38" s="28"/>
      <c r="D38" s="23" t="s">
        <v>15</v>
      </c>
      <c r="E38" s="23" t="s">
        <v>15</v>
      </c>
      <c r="F38" s="23" t="s">
        <v>15</v>
      </c>
      <c r="G38" s="23" t="s">
        <v>15</v>
      </c>
      <c r="H38" s="23" t="s">
        <v>15</v>
      </c>
      <c r="I38" s="23" t="s">
        <v>15</v>
      </c>
      <c r="J38" s="23" t="s">
        <v>15</v>
      </c>
      <c r="K38" s="23" t="s">
        <v>15</v>
      </c>
      <c r="L38" s="23" t="s">
        <v>15</v>
      </c>
      <c r="M38" s="24"/>
    </row>
    <row r="39" spans="2:13" ht="36" customHeight="1">
      <c r="B39" s="27" t="s">
        <v>20</v>
      </c>
      <c r="C39" s="28"/>
      <c r="D39" s="23" t="s">
        <v>15</v>
      </c>
      <c r="E39" s="23" t="s">
        <v>15</v>
      </c>
      <c r="F39" s="23" t="s">
        <v>15</v>
      </c>
      <c r="G39" s="23" t="s">
        <v>15</v>
      </c>
      <c r="H39" s="23" t="s">
        <v>15</v>
      </c>
      <c r="I39" s="23" t="s">
        <v>15</v>
      </c>
      <c r="J39" s="23" t="s">
        <v>15</v>
      </c>
      <c r="K39" s="23" t="s">
        <v>15</v>
      </c>
      <c r="L39" s="23" t="s">
        <v>15</v>
      </c>
      <c r="M39" s="24"/>
    </row>
    <row r="40" spans="2:13" ht="36" customHeight="1">
      <c r="B40" s="27"/>
      <c r="C40" s="28"/>
      <c r="D40" s="23" t="s">
        <v>15</v>
      </c>
      <c r="E40" s="23" t="s">
        <v>15</v>
      </c>
      <c r="F40" s="23" t="s">
        <v>15</v>
      </c>
      <c r="G40" s="23" t="s">
        <v>15</v>
      </c>
      <c r="H40" s="23" t="s">
        <v>15</v>
      </c>
      <c r="I40" s="23" t="s">
        <v>15</v>
      </c>
      <c r="J40" s="23" t="s">
        <v>15</v>
      </c>
      <c r="K40" s="23" t="s">
        <v>15</v>
      </c>
      <c r="L40" s="23" t="s">
        <v>15</v>
      </c>
      <c r="M40" s="24"/>
    </row>
    <row r="41" spans="2:13" ht="36" customHeight="1">
      <c r="B41" s="27"/>
      <c r="C41" s="28"/>
      <c r="D41" s="23" t="s">
        <v>15</v>
      </c>
      <c r="E41" s="23" t="s">
        <v>15</v>
      </c>
      <c r="F41" s="23" t="s">
        <v>15</v>
      </c>
      <c r="G41" s="23" t="s">
        <v>15</v>
      </c>
      <c r="H41" s="23" t="s">
        <v>15</v>
      </c>
      <c r="I41" s="23" t="s">
        <v>15</v>
      </c>
      <c r="J41" s="23" t="s">
        <v>15</v>
      </c>
      <c r="K41" s="23" t="s">
        <v>15</v>
      </c>
      <c r="L41" s="23" t="s">
        <v>15</v>
      </c>
      <c r="M41" s="24"/>
    </row>
    <row r="42" spans="2:13" ht="36" customHeight="1">
      <c r="B42" s="27"/>
      <c r="C42" s="28"/>
      <c r="D42" s="23" t="s">
        <v>15</v>
      </c>
      <c r="E42" s="23" t="s">
        <v>15</v>
      </c>
      <c r="F42" s="23" t="s">
        <v>15</v>
      </c>
      <c r="G42" s="23" t="s">
        <v>15</v>
      </c>
      <c r="H42" s="23" t="s">
        <v>15</v>
      </c>
      <c r="I42" s="23" t="s">
        <v>15</v>
      </c>
      <c r="J42" s="23" t="s">
        <v>15</v>
      </c>
      <c r="K42" s="23" t="s">
        <v>15</v>
      </c>
      <c r="L42" s="23" t="s">
        <v>15</v>
      </c>
      <c r="M42" s="24"/>
    </row>
    <row r="43" spans="2:13" ht="36" customHeight="1">
      <c r="B43" s="27"/>
      <c r="C43" s="28"/>
      <c r="D43" s="23" t="s">
        <v>15</v>
      </c>
      <c r="E43" s="23" t="s">
        <v>15</v>
      </c>
      <c r="F43" s="23" t="s">
        <v>15</v>
      </c>
      <c r="G43" s="23" t="s">
        <v>15</v>
      </c>
      <c r="H43" s="23" t="s">
        <v>15</v>
      </c>
      <c r="I43" s="23" t="s">
        <v>15</v>
      </c>
      <c r="J43" s="23" t="s">
        <v>15</v>
      </c>
      <c r="K43" s="23" t="s">
        <v>15</v>
      </c>
      <c r="L43" s="23" t="s">
        <v>15</v>
      </c>
      <c r="M43" s="24"/>
    </row>
  </sheetData>
  <protectedRanges>
    <protectedRange sqref="D12:L43" name="Rango1_2"/>
    <protectedRange sqref="B36:C43" name="Rango2_2"/>
    <protectedRange sqref="M12:M43" name="Rango3_2"/>
  </protectedRanges>
  <mergeCells count="11">
    <mergeCell ref="G7:M7"/>
    <mergeCell ref="B9:M9"/>
    <mergeCell ref="B2:B6"/>
    <mergeCell ref="C2:C6"/>
    <mergeCell ref="D2:D6"/>
    <mergeCell ref="E3:F3"/>
    <mergeCell ref="G3:I3"/>
    <mergeCell ref="E4:F4"/>
    <mergeCell ref="G4:I4"/>
    <mergeCell ref="E5:F5"/>
    <mergeCell ref="G5:I5"/>
  </mergeCells>
  <conditionalFormatting sqref="D12:L43">
    <cfRule type="containsText" dxfId="38" priority="1" operator="containsText" text="No">
      <formula>NOT(ISERROR(SEARCH("No",D12)))</formula>
    </cfRule>
  </conditionalFormatting>
  <dataValidations count="3">
    <dataValidation allowBlank="1" showInputMessage="1" showErrorMessage="1" sqref="G3:I3 G5:I5" xr:uid="{2E12421F-7452-4F2F-B1FF-BA925FB34B7B}"/>
    <dataValidation type="date" allowBlank="1" showInputMessage="1" showErrorMessage="1" sqref="G7:M7" xr:uid="{56EA322D-55AE-4A9B-9264-2F8BE21D5D67}">
      <formula1>45170</formula1>
      <formula2>45473</formula2>
    </dataValidation>
    <dataValidation type="list" allowBlank="1" showInputMessage="1" showErrorMessage="1" sqref="D12:L43" xr:uid="{A85AE581-639B-4721-97A2-0EEFF2442BF3}">
      <formula1>"Assisteix, No assisteix"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769A-4D27-4E51-9C55-E83319A728FE}">
  <dimension ref="A1:XFC52"/>
  <sheetViews>
    <sheetView workbookViewId="0">
      <selection activeCell="E41" sqref="E41:M47"/>
    </sheetView>
  </sheetViews>
  <sheetFormatPr baseColWidth="10" defaultColWidth="0" defaultRowHeight="15.75" zeroHeight="1"/>
  <cols>
    <col min="1" max="1" width="3.265625" style="1" customWidth="1"/>
    <col min="2" max="2" width="12.59765625" style="1" customWidth="1"/>
    <col min="3" max="3" width="10.265625" style="1" customWidth="1"/>
    <col min="4" max="7" width="12.59765625" style="1" customWidth="1"/>
    <col min="8" max="8" width="15.3984375" style="1" customWidth="1"/>
    <col min="9" max="9" width="16.265625" style="1" customWidth="1"/>
    <col min="10" max="13" width="12.59765625" style="1" customWidth="1"/>
    <col min="14" max="21" width="0" style="1" hidden="1"/>
    <col min="22" max="180" width="4.3984375" style="1" hidden="1"/>
    <col min="181" max="181" width="0" style="41" hidden="1"/>
    <col min="182" max="182" width="9.1328125" style="41" hidden="1"/>
    <col min="183" max="16383" width="9.1328125" style="1" hidden="1"/>
    <col min="16384" max="16384" width="3.86328125" style="1" hidden="1"/>
  </cols>
  <sheetData>
    <row r="1" spans="2:182" ht="15.75" customHeight="1">
      <c r="B1" s="29"/>
      <c r="C1" s="29"/>
      <c r="D1" s="29"/>
      <c r="E1" s="29"/>
      <c r="F1" s="29"/>
      <c r="G1" s="29"/>
      <c r="H1" s="29"/>
      <c r="I1" s="10" t="s">
        <v>0</v>
      </c>
      <c r="J1" s="30"/>
      <c r="K1" s="30"/>
      <c r="L1" s="31"/>
      <c r="M1" s="30"/>
      <c r="FY1" s="1"/>
      <c r="FZ1" s="1"/>
    </row>
    <row r="2" spans="2:182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29"/>
      <c r="FY2" s="1"/>
      <c r="FZ2" s="1"/>
    </row>
    <row r="3" spans="2:182" ht="15.75" customHeight="1">
      <c r="B3" s="197"/>
      <c r="C3" s="197"/>
      <c r="D3" s="197"/>
      <c r="E3" s="197"/>
      <c r="F3" s="197"/>
      <c r="G3" s="197"/>
      <c r="H3" s="29"/>
      <c r="I3" s="33" t="s">
        <v>1</v>
      </c>
      <c r="J3" s="198" t="str">
        <f>IF(INDEX!G3 = "", "", INDEX!G3)</f>
        <v/>
      </c>
      <c r="K3" s="198"/>
      <c r="L3" s="198"/>
      <c r="M3" s="198"/>
      <c r="FY3" s="1"/>
      <c r="FZ3" s="1"/>
    </row>
    <row r="4" spans="2:182" ht="15.75" customHeight="1">
      <c r="B4" s="197"/>
      <c r="C4" s="197"/>
      <c r="D4" s="197"/>
      <c r="E4" s="197"/>
      <c r="F4" s="197"/>
      <c r="G4" s="197"/>
      <c r="H4" s="29"/>
      <c r="I4" s="33" t="s">
        <v>2</v>
      </c>
      <c r="J4" s="198" t="str">
        <f>IF(INDEX!G4 = "", "", INDEX!G4)</f>
        <v/>
      </c>
      <c r="K4" s="198"/>
      <c r="L4" s="198"/>
      <c r="M4" s="198"/>
      <c r="FY4" s="1"/>
      <c r="FZ4" s="1"/>
    </row>
    <row r="5" spans="2:182" ht="15.75" customHeight="1" thickBot="1">
      <c r="B5" s="197"/>
      <c r="C5" s="197"/>
      <c r="D5" s="197"/>
      <c r="E5" s="197"/>
      <c r="F5" s="197"/>
      <c r="G5" s="197"/>
      <c r="H5" s="29"/>
      <c r="I5" s="34" t="s">
        <v>3</v>
      </c>
      <c r="J5" s="199" t="str">
        <f>INDEX!G5</f>
        <v>2025-2026</v>
      </c>
      <c r="K5" s="199"/>
      <c r="L5" s="199"/>
      <c r="M5" s="199"/>
      <c r="FY5" s="1"/>
      <c r="FZ5" s="1"/>
    </row>
    <row r="6" spans="2:182" ht="27" customHeight="1">
      <c r="B6" s="197"/>
      <c r="C6" s="197"/>
      <c r="D6" s="197"/>
      <c r="E6" s="197"/>
      <c r="F6" s="197"/>
      <c r="G6" s="197"/>
      <c r="H6" s="29"/>
      <c r="I6" s="35"/>
      <c r="J6" s="200"/>
      <c r="K6" s="200"/>
      <c r="L6" s="200"/>
      <c r="M6" s="200"/>
      <c r="FY6" s="1"/>
      <c r="FZ6" s="1"/>
    </row>
    <row r="7" spans="2:182" s="37" customFormat="1" ht="21">
      <c r="B7" s="196" t="s">
        <v>21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</row>
    <row r="8" spans="2:18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FY8" s="1"/>
      <c r="FZ8" s="1"/>
    </row>
    <row r="9" spans="2:182" ht="30.75" customHeight="1">
      <c r="B9" s="201" t="s">
        <v>22</v>
      </c>
      <c r="C9" s="201"/>
      <c r="D9" s="38">
        <v>1</v>
      </c>
      <c r="E9" s="202"/>
      <c r="F9" s="202"/>
      <c r="G9" s="202"/>
      <c r="H9" s="202"/>
      <c r="I9" s="202"/>
      <c r="J9" s="202"/>
      <c r="K9" s="202"/>
      <c r="L9" s="202"/>
      <c r="M9" s="202"/>
      <c r="FY9" s="1"/>
      <c r="FZ9" s="1"/>
    </row>
    <row r="10" spans="2:182" ht="30.75" customHeight="1">
      <c r="B10" s="201"/>
      <c r="C10" s="201"/>
      <c r="D10" s="38">
        <v>2</v>
      </c>
      <c r="E10" s="202"/>
      <c r="F10" s="202"/>
      <c r="G10" s="202"/>
      <c r="H10" s="202"/>
      <c r="I10" s="202"/>
      <c r="J10" s="202"/>
      <c r="K10" s="202"/>
      <c r="L10" s="202"/>
      <c r="M10" s="202"/>
      <c r="FY10" s="1"/>
      <c r="FZ10" s="1"/>
    </row>
    <row r="11" spans="2:182" ht="30.75" customHeight="1">
      <c r="B11" s="201"/>
      <c r="C11" s="201"/>
      <c r="D11" s="38">
        <v>3</v>
      </c>
      <c r="E11" s="202"/>
      <c r="F11" s="202"/>
      <c r="G11" s="202"/>
      <c r="H11" s="202"/>
      <c r="I11" s="202"/>
      <c r="J11" s="202"/>
      <c r="K11" s="202"/>
      <c r="L11" s="202"/>
      <c r="M11" s="202"/>
      <c r="FY11" s="1"/>
      <c r="FZ11" s="1"/>
    </row>
    <row r="12" spans="2:182" ht="30.75" customHeight="1">
      <c r="B12" s="201"/>
      <c r="C12" s="201"/>
      <c r="D12" s="38">
        <v>4</v>
      </c>
      <c r="E12" s="202"/>
      <c r="F12" s="202"/>
      <c r="G12" s="202"/>
      <c r="H12" s="202"/>
      <c r="I12" s="202"/>
      <c r="J12" s="202"/>
      <c r="K12" s="202"/>
      <c r="L12" s="202"/>
      <c r="M12" s="202"/>
      <c r="FY12" s="1"/>
      <c r="FZ12" s="1"/>
    </row>
    <row r="13" spans="2:182" ht="30.75" customHeight="1">
      <c r="B13" s="201"/>
      <c r="C13" s="201"/>
      <c r="D13" s="38">
        <v>5</v>
      </c>
      <c r="E13" s="202"/>
      <c r="F13" s="202"/>
      <c r="G13" s="202"/>
      <c r="H13" s="202"/>
      <c r="I13" s="202"/>
      <c r="J13" s="202"/>
      <c r="K13" s="202"/>
      <c r="L13" s="202"/>
      <c r="M13" s="202"/>
      <c r="FY13" s="1"/>
      <c r="FZ13" s="1"/>
    </row>
    <row r="14" spans="2:182" ht="30.75" customHeight="1">
      <c r="B14" s="201"/>
      <c r="C14" s="201"/>
      <c r="D14" s="38">
        <v>6</v>
      </c>
      <c r="E14" s="202"/>
      <c r="F14" s="202"/>
      <c r="G14" s="202"/>
      <c r="H14" s="202"/>
      <c r="I14" s="202"/>
      <c r="J14" s="202"/>
      <c r="K14" s="202"/>
      <c r="L14" s="202"/>
      <c r="M14" s="202"/>
      <c r="FY14" s="1"/>
      <c r="FZ14" s="1"/>
    </row>
    <row r="15" spans="2:182" ht="30.75" customHeight="1" thickBot="1">
      <c r="B15" s="201"/>
      <c r="C15" s="201"/>
      <c r="D15" s="39">
        <v>7</v>
      </c>
      <c r="E15" s="203"/>
      <c r="F15" s="203"/>
      <c r="G15" s="203"/>
      <c r="H15" s="203"/>
      <c r="I15" s="203"/>
      <c r="J15" s="203"/>
      <c r="K15" s="203"/>
      <c r="L15" s="203"/>
      <c r="M15" s="203"/>
      <c r="FY15" s="1"/>
      <c r="FZ15" s="1"/>
    </row>
    <row r="16" spans="2:182" ht="30.75" customHeight="1">
      <c r="E16" s="40"/>
      <c r="F16" s="40"/>
      <c r="G16" s="40"/>
      <c r="H16" s="40"/>
      <c r="I16" s="40"/>
      <c r="J16" s="40"/>
      <c r="K16" s="40"/>
      <c r="L16" s="40"/>
      <c r="M16" s="40"/>
      <c r="FY16" s="1"/>
      <c r="FZ16" s="1"/>
    </row>
    <row r="17" spans="2:182" ht="30.75" customHeight="1">
      <c r="B17" s="201" t="s">
        <v>23</v>
      </c>
      <c r="C17" s="201"/>
      <c r="D17" s="38">
        <v>1</v>
      </c>
      <c r="E17" s="202"/>
      <c r="F17" s="202"/>
      <c r="G17" s="202"/>
      <c r="H17" s="202"/>
      <c r="I17" s="202"/>
      <c r="J17" s="202"/>
      <c r="K17" s="202"/>
      <c r="L17" s="202"/>
      <c r="M17" s="202"/>
      <c r="FY17" s="1"/>
      <c r="FZ17" s="1"/>
    </row>
    <row r="18" spans="2:182" ht="30.75" customHeight="1">
      <c r="B18" s="201"/>
      <c r="C18" s="201"/>
      <c r="D18" s="38">
        <v>2</v>
      </c>
      <c r="E18" s="202"/>
      <c r="F18" s="202"/>
      <c r="G18" s="202"/>
      <c r="H18" s="202"/>
      <c r="I18" s="202"/>
      <c r="J18" s="202"/>
      <c r="K18" s="202"/>
      <c r="L18" s="202"/>
      <c r="M18" s="202"/>
      <c r="FY18" s="1"/>
      <c r="FZ18" s="1"/>
    </row>
    <row r="19" spans="2:182" ht="30.75" customHeight="1">
      <c r="B19" s="201"/>
      <c r="C19" s="201"/>
      <c r="D19" s="38">
        <v>3</v>
      </c>
      <c r="E19" s="202"/>
      <c r="F19" s="202"/>
      <c r="G19" s="202"/>
      <c r="H19" s="202"/>
      <c r="I19" s="202"/>
      <c r="J19" s="202"/>
      <c r="K19" s="202"/>
      <c r="L19" s="202"/>
      <c r="M19" s="202"/>
      <c r="FY19" s="1"/>
      <c r="FZ19" s="1"/>
    </row>
    <row r="20" spans="2:182" ht="30.75" customHeight="1">
      <c r="B20" s="201"/>
      <c r="C20" s="201"/>
      <c r="D20" s="38">
        <v>4</v>
      </c>
      <c r="E20" s="202"/>
      <c r="F20" s="202"/>
      <c r="G20" s="202"/>
      <c r="H20" s="202"/>
      <c r="I20" s="202"/>
      <c r="J20" s="202"/>
      <c r="K20" s="202"/>
      <c r="L20" s="202"/>
      <c r="M20" s="202"/>
      <c r="FY20" s="1"/>
      <c r="FZ20" s="1"/>
    </row>
    <row r="21" spans="2:182" ht="30.75" customHeight="1">
      <c r="B21" s="201"/>
      <c r="C21" s="201"/>
      <c r="D21" s="38">
        <v>5</v>
      </c>
      <c r="E21" s="202"/>
      <c r="F21" s="202"/>
      <c r="G21" s="202"/>
      <c r="H21" s="202"/>
      <c r="I21" s="202"/>
      <c r="J21" s="202"/>
      <c r="K21" s="202"/>
      <c r="L21" s="202"/>
      <c r="M21" s="202"/>
      <c r="FY21" s="1"/>
      <c r="FZ21" s="1"/>
    </row>
    <row r="22" spans="2:182" ht="30.75" customHeight="1">
      <c r="B22" s="201"/>
      <c r="C22" s="201"/>
      <c r="D22" s="38">
        <v>6</v>
      </c>
      <c r="E22" s="202"/>
      <c r="F22" s="202"/>
      <c r="G22" s="202"/>
      <c r="H22" s="202"/>
      <c r="I22" s="202"/>
      <c r="J22" s="202"/>
      <c r="K22" s="202"/>
      <c r="L22" s="202"/>
      <c r="M22" s="202"/>
      <c r="FY22" s="1"/>
      <c r="FZ22" s="1"/>
    </row>
    <row r="23" spans="2:182" ht="30.75" customHeight="1" thickBot="1">
      <c r="B23" s="201"/>
      <c r="C23" s="201"/>
      <c r="D23" s="39">
        <v>7</v>
      </c>
      <c r="E23" s="203"/>
      <c r="F23" s="203"/>
      <c r="G23" s="203"/>
      <c r="H23" s="203"/>
      <c r="I23" s="203"/>
      <c r="J23" s="203"/>
      <c r="K23" s="203"/>
      <c r="L23" s="203"/>
      <c r="M23" s="203"/>
      <c r="FY23" s="1"/>
      <c r="FZ23" s="1"/>
    </row>
    <row r="24" spans="2:182" ht="30.75" customHeight="1">
      <c r="E24" s="40"/>
      <c r="F24" s="40"/>
      <c r="G24" s="40"/>
      <c r="H24" s="40"/>
      <c r="I24" s="40"/>
      <c r="J24" s="40"/>
      <c r="K24" s="40"/>
      <c r="L24" s="40"/>
      <c r="M24" s="40"/>
      <c r="FY24" s="1"/>
      <c r="FZ24" s="1"/>
    </row>
    <row r="25" spans="2:182" ht="30.75" customHeight="1">
      <c r="B25" s="201" t="s">
        <v>24</v>
      </c>
      <c r="C25" s="201"/>
      <c r="D25" s="38">
        <v>1</v>
      </c>
      <c r="E25" s="204"/>
      <c r="F25" s="202"/>
      <c r="G25" s="202"/>
      <c r="H25" s="202"/>
      <c r="I25" s="202"/>
      <c r="J25" s="202"/>
      <c r="K25" s="202"/>
      <c r="L25" s="202"/>
      <c r="M25" s="202"/>
      <c r="FY25" s="1"/>
      <c r="FZ25" s="1"/>
    </row>
    <row r="26" spans="2:182" ht="30.75" customHeight="1">
      <c r="B26" s="201"/>
      <c r="C26" s="201"/>
      <c r="D26" s="38">
        <v>2</v>
      </c>
      <c r="E26" s="204"/>
      <c r="F26" s="202"/>
      <c r="G26" s="202"/>
      <c r="H26" s="202"/>
      <c r="I26" s="202"/>
      <c r="J26" s="202"/>
      <c r="K26" s="202"/>
      <c r="L26" s="202"/>
      <c r="M26" s="202"/>
      <c r="FY26" s="1"/>
      <c r="FZ26" s="1"/>
    </row>
    <row r="27" spans="2:182" ht="30.75" customHeight="1">
      <c r="B27" s="201"/>
      <c r="C27" s="201"/>
      <c r="D27" s="38">
        <v>3</v>
      </c>
      <c r="E27" s="204"/>
      <c r="F27" s="202"/>
      <c r="G27" s="202"/>
      <c r="H27" s="202"/>
      <c r="I27" s="202"/>
      <c r="J27" s="202"/>
      <c r="K27" s="202"/>
      <c r="L27" s="202"/>
      <c r="M27" s="202"/>
      <c r="FY27" s="1"/>
      <c r="FZ27" s="1"/>
    </row>
    <row r="28" spans="2:182" ht="30.75" customHeight="1">
      <c r="B28" s="201"/>
      <c r="C28" s="201"/>
      <c r="D28" s="38">
        <v>4</v>
      </c>
      <c r="E28" s="204"/>
      <c r="F28" s="202"/>
      <c r="G28" s="202"/>
      <c r="H28" s="202"/>
      <c r="I28" s="202"/>
      <c r="J28" s="202"/>
      <c r="K28" s="202"/>
      <c r="L28" s="202"/>
      <c r="M28" s="202"/>
      <c r="FY28" s="1"/>
      <c r="FZ28" s="1"/>
    </row>
    <row r="29" spans="2:182" ht="30.75" customHeight="1">
      <c r="B29" s="201"/>
      <c r="C29" s="201"/>
      <c r="D29" s="38">
        <v>5</v>
      </c>
      <c r="E29" s="204"/>
      <c r="F29" s="202"/>
      <c r="G29" s="202"/>
      <c r="H29" s="202"/>
      <c r="I29" s="202"/>
      <c r="J29" s="202"/>
      <c r="K29" s="202"/>
      <c r="L29" s="202"/>
      <c r="M29" s="202"/>
      <c r="FY29" s="1"/>
      <c r="FZ29" s="1"/>
    </row>
    <row r="30" spans="2:182" ht="30.75" customHeight="1">
      <c r="B30" s="201"/>
      <c r="C30" s="201"/>
      <c r="D30" s="38">
        <v>6</v>
      </c>
      <c r="E30" s="204"/>
      <c r="F30" s="202"/>
      <c r="G30" s="202"/>
      <c r="H30" s="202"/>
      <c r="I30" s="202"/>
      <c r="J30" s="202"/>
      <c r="K30" s="202"/>
      <c r="L30" s="202"/>
      <c r="M30" s="202"/>
      <c r="FY30" s="1"/>
      <c r="FZ30" s="1"/>
    </row>
    <row r="31" spans="2:182" ht="30.75" customHeight="1" thickBot="1">
      <c r="B31" s="201"/>
      <c r="C31" s="201"/>
      <c r="D31" s="39">
        <v>7</v>
      </c>
      <c r="E31" s="205"/>
      <c r="F31" s="203"/>
      <c r="G31" s="203"/>
      <c r="H31" s="203"/>
      <c r="I31" s="203"/>
      <c r="J31" s="203"/>
      <c r="K31" s="203"/>
      <c r="L31" s="203"/>
      <c r="M31" s="203"/>
      <c r="FY31" s="1"/>
      <c r="FZ31" s="1"/>
    </row>
    <row r="32" spans="2:182" ht="30.75" customHeight="1">
      <c r="E32" s="40"/>
      <c r="F32" s="40"/>
      <c r="G32" s="40"/>
      <c r="H32" s="40"/>
      <c r="I32" s="40"/>
      <c r="J32" s="40"/>
      <c r="K32" s="40"/>
      <c r="L32" s="40"/>
      <c r="M32" s="40"/>
      <c r="FY32" s="1"/>
      <c r="FZ32" s="1"/>
    </row>
    <row r="33" spans="2:182" ht="30.75" customHeight="1">
      <c r="B33" s="206" t="s">
        <v>25</v>
      </c>
      <c r="C33" s="206"/>
      <c r="D33" s="38">
        <v>1</v>
      </c>
      <c r="E33" s="202"/>
      <c r="F33" s="202"/>
      <c r="G33" s="202"/>
      <c r="H33" s="202"/>
      <c r="I33" s="202"/>
      <c r="J33" s="202"/>
      <c r="K33" s="202"/>
      <c r="L33" s="202"/>
      <c r="M33" s="202"/>
      <c r="FY33" s="1"/>
      <c r="FZ33" s="1"/>
    </row>
    <row r="34" spans="2:182" ht="30.75" customHeight="1">
      <c r="B34" s="206"/>
      <c r="C34" s="206"/>
      <c r="D34" s="38">
        <v>2</v>
      </c>
      <c r="E34" s="202"/>
      <c r="F34" s="202"/>
      <c r="G34" s="202"/>
      <c r="H34" s="202"/>
      <c r="I34" s="202"/>
      <c r="J34" s="202"/>
      <c r="K34" s="202"/>
      <c r="L34" s="202"/>
      <c r="M34" s="202"/>
      <c r="FY34" s="1"/>
      <c r="FZ34" s="1"/>
    </row>
    <row r="35" spans="2:182" ht="30.75" customHeight="1">
      <c r="B35" s="206"/>
      <c r="C35" s="206"/>
      <c r="D35" s="38">
        <v>3</v>
      </c>
      <c r="E35" s="202"/>
      <c r="F35" s="202"/>
      <c r="G35" s="202"/>
      <c r="H35" s="202"/>
      <c r="I35" s="202"/>
      <c r="J35" s="202"/>
      <c r="K35" s="202"/>
      <c r="L35" s="202"/>
      <c r="M35" s="202"/>
      <c r="FY35" s="1"/>
      <c r="FZ35" s="1"/>
    </row>
    <row r="36" spans="2:182" ht="30.75" customHeight="1">
      <c r="B36" s="206"/>
      <c r="C36" s="206"/>
      <c r="D36" s="38">
        <v>4</v>
      </c>
      <c r="E36" s="202"/>
      <c r="F36" s="202"/>
      <c r="G36" s="202"/>
      <c r="H36" s="202"/>
      <c r="I36" s="202"/>
      <c r="J36" s="202"/>
      <c r="K36" s="202"/>
      <c r="L36" s="202"/>
      <c r="M36" s="202"/>
      <c r="FY36" s="1"/>
      <c r="FZ36" s="1"/>
    </row>
    <row r="37" spans="2:182" ht="30.75" customHeight="1">
      <c r="B37" s="206"/>
      <c r="C37" s="206"/>
      <c r="D37" s="38">
        <v>5</v>
      </c>
      <c r="E37" s="202"/>
      <c r="F37" s="202"/>
      <c r="G37" s="202"/>
      <c r="H37" s="202"/>
      <c r="I37" s="202"/>
      <c r="J37" s="202"/>
      <c r="K37" s="202"/>
      <c r="L37" s="202"/>
      <c r="M37" s="202"/>
      <c r="FY37" s="1"/>
      <c r="FZ37" s="1"/>
    </row>
    <row r="38" spans="2:182" ht="30.75" customHeight="1">
      <c r="B38" s="206"/>
      <c r="C38" s="206"/>
      <c r="D38" s="38">
        <v>6</v>
      </c>
      <c r="E38" s="202"/>
      <c r="F38" s="202"/>
      <c r="G38" s="202"/>
      <c r="H38" s="202"/>
      <c r="I38" s="202"/>
      <c r="J38" s="202"/>
      <c r="K38" s="202"/>
      <c r="L38" s="202"/>
      <c r="M38" s="202"/>
      <c r="FY38" s="1"/>
      <c r="FZ38" s="1"/>
    </row>
    <row r="39" spans="2:182" ht="30.75" customHeight="1" thickBot="1">
      <c r="B39" s="206"/>
      <c r="C39" s="206"/>
      <c r="D39" s="39">
        <v>7</v>
      </c>
      <c r="E39" s="203"/>
      <c r="F39" s="203"/>
      <c r="G39" s="203"/>
      <c r="H39" s="203"/>
      <c r="I39" s="203"/>
      <c r="J39" s="203"/>
      <c r="K39" s="203"/>
      <c r="L39" s="203"/>
      <c r="M39" s="203"/>
      <c r="FY39" s="1"/>
      <c r="FZ39" s="1"/>
    </row>
    <row r="40" spans="2:182" ht="30.75" customHeight="1">
      <c r="FY40" s="1"/>
      <c r="FZ40" s="1"/>
    </row>
    <row r="41" spans="2:182" ht="30.75" customHeight="1">
      <c r="B41" s="206" t="s">
        <v>26</v>
      </c>
      <c r="C41" s="206"/>
      <c r="D41" s="38">
        <v>1</v>
      </c>
      <c r="E41" s="202"/>
      <c r="F41" s="202"/>
      <c r="G41" s="202"/>
      <c r="H41" s="202"/>
      <c r="I41" s="202"/>
      <c r="J41" s="202"/>
      <c r="K41" s="202"/>
      <c r="L41" s="202"/>
      <c r="M41" s="202"/>
      <c r="FY41" s="1"/>
      <c r="FZ41" s="1"/>
    </row>
    <row r="42" spans="2:182" ht="30.75" customHeight="1">
      <c r="B42" s="206"/>
      <c r="C42" s="206"/>
      <c r="D42" s="38">
        <v>2</v>
      </c>
      <c r="E42" s="202"/>
      <c r="F42" s="202"/>
      <c r="G42" s="202"/>
      <c r="H42" s="202"/>
      <c r="I42" s="202"/>
      <c r="J42" s="202"/>
      <c r="K42" s="202"/>
      <c r="L42" s="202"/>
      <c r="M42" s="202"/>
      <c r="FY42" s="1"/>
      <c r="FZ42" s="1"/>
    </row>
    <row r="43" spans="2:182" ht="30.75" customHeight="1">
      <c r="B43" s="206"/>
      <c r="C43" s="206"/>
      <c r="D43" s="38">
        <v>3</v>
      </c>
      <c r="E43" s="202"/>
      <c r="F43" s="202"/>
      <c r="G43" s="202"/>
      <c r="H43" s="202"/>
      <c r="I43" s="202"/>
      <c r="J43" s="202"/>
      <c r="K43" s="202"/>
      <c r="L43" s="202"/>
      <c r="M43" s="202"/>
      <c r="FY43" s="1"/>
      <c r="FZ43" s="1"/>
    </row>
    <row r="44" spans="2:182" ht="30.75" customHeight="1">
      <c r="B44" s="206"/>
      <c r="C44" s="206"/>
      <c r="D44" s="38">
        <v>4</v>
      </c>
      <c r="E44" s="202"/>
      <c r="F44" s="202"/>
      <c r="G44" s="202"/>
      <c r="H44" s="202"/>
      <c r="I44" s="202"/>
      <c r="J44" s="202"/>
      <c r="K44" s="202"/>
      <c r="L44" s="202"/>
      <c r="M44" s="202"/>
      <c r="FY44" s="1"/>
      <c r="FZ44" s="1"/>
    </row>
    <row r="45" spans="2:182" ht="30.75" customHeight="1">
      <c r="B45" s="206"/>
      <c r="C45" s="206"/>
      <c r="D45" s="38">
        <v>5</v>
      </c>
      <c r="E45" s="202"/>
      <c r="F45" s="202"/>
      <c r="G45" s="202"/>
      <c r="H45" s="202"/>
      <c r="I45" s="202"/>
      <c r="J45" s="202"/>
      <c r="K45" s="202"/>
      <c r="L45" s="202"/>
      <c r="M45" s="202"/>
      <c r="FY45" s="1"/>
      <c r="FZ45" s="1"/>
    </row>
    <row r="46" spans="2:182" ht="30.75" customHeight="1">
      <c r="B46" s="206"/>
      <c r="C46" s="206"/>
      <c r="D46" s="38">
        <v>6</v>
      </c>
      <c r="E46" s="202"/>
      <c r="F46" s="202"/>
      <c r="G46" s="202"/>
      <c r="H46" s="202"/>
      <c r="I46" s="202"/>
      <c r="J46" s="202"/>
      <c r="K46" s="202"/>
      <c r="L46" s="202"/>
      <c r="M46" s="202"/>
      <c r="FY46" s="1"/>
      <c r="FZ46" s="1"/>
    </row>
    <row r="47" spans="2:182" ht="30.75" customHeight="1" thickBot="1">
      <c r="B47" s="206"/>
      <c r="C47" s="206"/>
      <c r="D47" s="39">
        <v>7</v>
      </c>
      <c r="E47" s="203"/>
      <c r="F47" s="203"/>
      <c r="G47" s="203"/>
      <c r="H47" s="203"/>
      <c r="I47" s="203"/>
      <c r="J47" s="203"/>
      <c r="K47" s="203"/>
      <c r="L47" s="203"/>
      <c r="M47" s="203"/>
      <c r="FY47" s="1"/>
      <c r="FZ47" s="1"/>
    </row>
    <row r="48" spans="2:182" ht="15.75" customHeight="1"/>
    <row r="49" ht="15.75" customHeight="1"/>
    <row r="50" ht="15.75" customHeight="1"/>
    <row r="51" ht="15.75" customHeight="1"/>
    <row r="52" ht="15.75" customHeight="1"/>
  </sheetData>
  <mergeCells count="48">
    <mergeCell ref="B41:C47"/>
    <mergeCell ref="E41:M41"/>
    <mergeCell ref="E42:M42"/>
    <mergeCell ref="E43:M43"/>
    <mergeCell ref="E44:M44"/>
    <mergeCell ref="E45:M45"/>
    <mergeCell ref="E46:M46"/>
    <mergeCell ref="E47:M47"/>
    <mergeCell ref="B33:C39"/>
    <mergeCell ref="E33:M33"/>
    <mergeCell ref="E34:M34"/>
    <mergeCell ref="E35:M35"/>
    <mergeCell ref="E36:M36"/>
    <mergeCell ref="E37:M37"/>
    <mergeCell ref="E38:M38"/>
    <mergeCell ref="E39:M39"/>
    <mergeCell ref="B25:C31"/>
    <mergeCell ref="E25:M25"/>
    <mergeCell ref="E26:M26"/>
    <mergeCell ref="E27:M27"/>
    <mergeCell ref="E28:M28"/>
    <mergeCell ref="E29:M29"/>
    <mergeCell ref="E30:M30"/>
    <mergeCell ref="E31:M31"/>
    <mergeCell ref="B17:C23"/>
    <mergeCell ref="E17:M17"/>
    <mergeCell ref="E18:M18"/>
    <mergeCell ref="E19:M19"/>
    <mergeCell ref="E20:M20"/>
    <mergeCell ref="E21:M21"/>
    <mergeCell ref="E22:M22"/>
    <mergeCell ref="E23:M23"/>
    <mergeCell ref="B9:C15"/>
    <mergeCell ref="E9:M9"/>
    <mergeCell ref="E10:M10"/>
    <mergeCell ref="E11:M11"/>
    <mergeCell ref="E12:M12"/>
    <mergeCell ref="E13:M13"/>
    <mergeCell ref="E14:M14"/>
    <mergeCell ref="E15:M15"/>
    <mergeCell ref="B7:M7"/>
    <mergeCell ref="B2:C6"/>
    <mergeCell ref="D2:F6"/>
    <mergeCell ref="G2:G6"/>
    <mergeCell ref="J3:M3"/>
    <mergeCell ref="J4:M4"/>
    <mergeCell ref="J5:M5"/>
    <mergeCell ref="J6:M6"/>
  </mergeCells>
  <dataValidations count="1">
    <dataValidation type="list" allowBlank="1" sqref="J6" xr:uid="{B621033D-5541-4B56-A7AF-59249C1D0FDB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6793-DBCC-4C02-B891-083E79C27145}">
  <dimension ref="A1:XFB88"/>
  <sheetViews>
    <sheetView tabSelected="1" topLeftCell="M23" workbookViewId="0">
      <selection activeCell="O27" sqref="O27"/>
    </sheetView>
  </sheetViews>
  <sheetFormatPr baseColWidth="10" defaultColWidth="0" defaultRowHeight="15.75" zeroHeight="1"/>
  <cols>
    <col min="1" max="1" width="3.59765625" style="44" customWidth="1"/>
    <col min="2" max="2" width="12.59765625" style="44" customWidth="1"/>
    <col min="3" max="3" width="39.73046875" style="44" customWidth="1"/>
    <col min="4" max="4" width="12.59765625" style="44" customWidth="1"/>
    <col min="5" max="5" width="14.59765625" style="44" customWidth="1"/>
    <col min="6" max="12" width="12.59765625" style="44" customWidth="1"/>
    <col min="13" max="15" width="14.86328125" style="44" customWidth="1"/>
    <col min="16" max="16" width="15.1328125" style="44" customWidth="1"/>
    <col min="17" max="17" width="3.59765625" style="44" customWidth="1"/>
    <col min="18" max="25" width="15.1328125" style="44" hidden="1"/>
    <col min="26" max="183" width="4.3984375" style="44" hidden="1"/>
    <col min="184" max="16382" width="0" style="44" hidden="1"/>
    <col min="16383" max="16384" width="4" style="44" hidden="1"/>
  </cols>
  <sheetData>
    <row r="1" spans="2:16" ht="15.75" customHeight="1">
      <c r="B1" s="42"/>
      <c r="C1" s="42"/>
      <c r="D1" s="42"/>
      <c r="E1" s="42"/>
      <c r="F1" s="42"/>
      <c r="G1" s="42"/>
      <c r="H1" s="207" t="s">
        <v>0</v>
      </c>
      <c r="I1" s="207"/>
      <c r="J1" s="207"/>
      <c r="K1" s="207"/>
      <c r="L1" s="207"/>
      <c r="M1" s="207"/>
      <c r="N1" s="43"/>
    </row>
    <row r="2" spans="2:16" ht="15.75" customHeight="1">
      <c r="B2" s="208" t="e" vm="1">
        <v>#VALUE!</v>
      </c>
      <c r="C2" s="208"/>
      <c r="D2" s="208" t="e" vm="2">
        <v>#VALUE!</v>
      </c>
      <c r="E2" s="208"/>
      <c r="F2" s="208"/>
      <c r="G2" s="208"/>
      <c r="H2" s="42"/>
    </row>
    <row r="3" spans="2:16" ht="15.75" customHeight="1">
      <c r="B3" s="208"/>
      <c r="C3" s="208"/>
      <c r="D3" s="208"/>
      <c r="E3" s="208"/>
      <c r="F3" s="208"/>
      <c r="G3" s="208"/>
      <c r="H3" s="209" t="s">
        <v>1</v>
      </c>
      <c r="I3" s="209"/>
      <c r="J3" s="198" t="str">
        <f>IF(INDEX!G3 = "", "", INDEX!G3)</f>
        <v/>
      </c>
      <c r="K3" s="198"/>
      <c r="L3" s="198"/>
      <c r="M3" s="198"/>
    </row>
    <row r="4" spans="2:16" ht="15.75" customHeight="1">
      <c r="B4" s="208"/>
      <c r="C4" s="208"/>
      <c r="D4" s="208"/>
      <c r="E4" s="208"/>
      <c r="F4" s="208"/>
      <c r="G4" s="208"/>
      <c r="H4" s="210" t="s">
        <v>2</v>
      </c>
      <c r="I4" s="210"/>
      <c r="J4" s="198" t="str">
        <f>IF(INDEX!G4 = "", "", INDEX!G4)</f>
        <v/>
      </c>
      <c r="K4" s="198"/>
      <c r="L4" s="198"/>
      <c r="M4" s="198"/>
    </row>
    <row r="5" spans="2:16" ht="15.75" customHeight="1" thickBot="1">
      <c r="B5" s="208"/>
      <c r="C5" s="208"/>
      <c r="D5" s="208"/>
      <c r="E5" s="208"/>
      <c r="F5" s="208"/>
      <c r="G5" s="208"/>
      <c r="H5" s="209" t="s">
        <v>3</v>
      </c>
      <c r="I5" s="209"/>
      <c r="J5" s="199" t="str">
        <f>INDEX!G5</f>
        <v>2025-2026</v>
      </c>
      <c r="K5" s="199"/>
      <c r="L5" s="199"/>
      <c r="M5" s="199"/>
    </row>
    <row r="6" spans="2:16" ht="15" customHeight="1" thickBot="1">
      <c r="B6" s="208"/>
      <c r="C6" s="208"/>
      <c r="D6" s="208"/>
      <c r="E6" s="208"/>
      <c r="F6" s="208"/>
      <c r="G6" s="208"/>
      <c r="H6" s="211" t="s">
        <v>27</v>
      </c>
      <c r="I6" s="211"/>
      <c r="J6" s="214" t="s">
        <v>28</v>
      </c>
      <c r="K6" s="214"/>
      <c r="L6" s="214"/>
      <c r="M6" s="214"/>
    </row>
    <row r="7" spans="2:16" ht="17.25" customHeight="1">
      <c r="B7" s="42"/>
      <c r="C7" s="42"/>
      <c r="D7" s="42"/>
      <c r="E7" s="42"/>
      <c r="F7" s="42"/>
      <c r="G7" s="42"/>
      <c r="H7" s="215" t="s">
        <v>29</v>
      </c>
      <c r="I7" s="215"/>
      <c r="J7" s="216">
        <v>45901</v>
      </c>
      <c r="K7" s="216"/>
      <c r="L7" s="216"/>
      <c r="M7" s="216"/>
    </row>
    <row r="8" spans="2:16" ht="27" customHeight="1"/>
    <row r="9" spans="2:16" s="46" customFormat="1" ht="27" customHeight="1">
      <c r="B9" s="217" t="s">
        <v>30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9"/>
    </row>
    <row r="10" spans="2:16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 spans="2:16" ht="27" customHeight="1">
      <c r="B11" s="220" t="s">
        <v>31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</row>
    <row r="12" spans="2:16" ht="60" customHeight="1">
      <c r="B12" s="212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</row>
    <row r="13" spans="2:16" ht="27" customHeight="1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spans="2:16" ht="27" customHeight="1">
      <c r="B14" s="220" t="s">
        <v>32</v>
      </c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</row>
    <row r="15" spans="2:16" ht="60" customHeight="1">
      <c r="B15" s="212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</row>
    <row r="16" spans="2:16" ht="27" customHeight="1"/>
    <row r="17" spans="2:16" ht="27" customHeight="1">
      <c r="B17" s="221" t="s">
        <v>33</v>
      </c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</row>
    <row r="18" spans="2:16" ht="60" customHeight="1">
      <c r="B18" s="212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</row>
    <row r="19" spans="2:16" ht="27" customHeight="1"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2:16" s="46" customFormat="1" ht="27" customHeight="1">
      <c r="B20" s="217" t="s">
        <v>34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9"/>
    </row>
    <row r="21" spans="2:16" ht="27" customHeight="1">
      <c r="B21" s="48" t="s">
        <v>35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spans="2:16" ht="27" customHeight="1">
      <c r="B22" s="212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</row>
    <row r="23" spans="2:16" ht="27" customHeight="1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2:16" ht="27" customHeight="1">
      <c r="B24" s="217" t="s">
        <v>36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9"/>
    </row>
    <row r="25" spans="2:16">
      <c r="C25" s="50"/>
      <c r="I25" s="51"/>
      <c r="J25" s="51"/>
      <c r="K25" s="51"/>
      <c r="L25" s="51"/>
      <c r="M25" s="51"/>
    </row>
    <row r="26" spans="2:16" s="51" customFormat="1" ht="15" customHeight="1">
      <c r="B26" s="222" t="s">
        <v>37</v>
      </c>
      <c r="C26" s="222"/>
      <c r="D26" s="222"/>
      <c r="E26" s="222"/>
      <c r="F26" s="52"/>
      <c r="G26" s="222" t="s">
        <v>38</v>
      </c>
      <c r="H26" s="222"/>
      <c r="I26" s="222"/>
      <c r="J26" s="222"/>
      <c r="K26" s="222"/>
      <c r="L26" s="53"/>
      <c r="M26" s="223" t="s">
        <v>39</v>
      </c>
      <c r="N26" s="223"/>
      <c r="O26" s="54">
        <f>COUNTIFS($C$36:$C$75,"&lt;&gt;",$D$36:$D$75,"&lt;&gt;Baixa")</f>
        <v>0</v>
      </c>
      <c r="P26" s="55" t="s">
        <v>40</v>
      </c>
    </row>
    <row r="27" spans="2:16" s="51" customFormat="1" ht="15" customHeight="1">
      <c r="B27" s="224" t="s">
        <v>41</v>
      </c>
      <c r="C27" s="224"/>
      <c r="D27" s="56">
        <v>0</v>
      </c>
      <c r="E27" s="57" t="str">
        <f>IFERROR(D27/$O$26,"-")</f>
        <v>-</v>
      </c>
      <c r="F27" s="225" t="s">
        <v>42</v>
      </c>
      <c r="G27" s="225"/>
      <c r="H27" s="225"/>
      <c r="I27" s="225"/>
      <c r="J27" s="56">
        <v>0</v>
      </c>
      <c r="K27" s="57" t="str">
        <f>IFERROR(J27/$O$26,"-")</f>
        <v>-</v>
      </c>
      <c r="M27" s="226" t="s">
        <v>43</v>
      </c>
      <c r="N27" s="226"/>
      <c r="O27" s="54">
        <f>COUNTIFS($D$36:$D$75,"Baixa")</f>
        <v>0</v>
      </c>
      <c r="P27" s="58" t="str">
        <f>IFERROR(O27/$O$26,"-")</f>
        <v>-</v>
      </c>
    </row>
    <row r="28" spans="2:16" s="51" customFormat="1" ht="15" customHeight="1">
      <c r="B28" s="224" t="s">
        <v>44</v>
      </c>
      <c r="C28" s="224"/>
      <c r="D28" s="56">
        <v>0</v>
      </c>
      <c r="E28" s="57" t="str">
        <f>IFERROR(D28/$O$26,"-")</f>
        <v>-</v>
      </c>
      <c r="F28" s="225" t="s">
        <v>45</v>
      </c>
      <c r="G28" s="225"/>
      <c r="H28" s="225"/>
      <c r="I28" s="225"/>
      <c r="J28" s="56">
        <v>0</v>
      </c>
      <c r="K28" s="57" t="str">
        <f>IFERROR(J28/$O$26,"-")</f>
        <v>-</v>
      </c>
      <c r="M28" s="226" t="s">
        <v>46</v>
      </c>
      <c r="N28" s="226"/>
      <c r="O28" s="56">
        <v>0</v>
      </c>
      <c r="P28" s="57" t="str">
        <f>IFERROR(O28/$O$26,"-")</f>
        <v>-</v>
      </c>
    </row>
    <row r="29" spans="2:16" s="51" customFormat="1" ht="15" customHeight="1" thickBot="1">
      <c r="B29" s="224" t="s">
        <v>47</v>
      </c>
      <c r="C29" s="224"/>
      <c r="D29" s="56">
        <v>0</v>
      </c>
      <c r="E29" s="57" t="str">
        <f>IFERROR(D29/$O$26,"-")</f>
        <v>-</v>
      </c>
      <c r="F29" s="225" t="s">
        <v>48</v>
      </c>
      <c r="G29" s="225"/>
      <c r="H29" s="225"/>
      <c r="I29" s="225"/>
      <c r="J29" s="59">
        <v>0</v>
      </c>
      <c r="K29" s="60" t="str">
        <f>IFERROR(J29/$O$26,"-")</f>
        <v>-</v>
      </c>
      <c r="M29" s="226" t="s">
        <v>49</v>
      </c>
      <c r="N29" s="226"/>
      <c r="O29" s="54">
        <f>COUNTIFS($C$36:$C$75,"&lt;&gt;",$D$36:$D$75,"&lt;&gt;Baixa",$K$36:$K$75,"Sí")</f>
        <v>0</v>
      </c>
      <c r="P29" s="57" t="str">
        <f>IFERROR(O29/$O$26,"-")</f>
        <v>-</v>
      </c>
    </row>
    <row r="30" spans="2:16" s="51" customFormat="1" ht="15" customHeight="1" thickBot="1">
      <c r="B30" s="224" t="s">
        <v>50</v>
      </c>
      <c r="C30" s="224"/>
      <c r="D30" s="59">
        <v>0</v>
      </c>
      <c r="E30" s="60" t="str">
        <f>IFERROR(D30/$O$26,"-")</f>
        <v>-</v>
      </c>
      <c r="F30" s="52"/>
      <c r="G30" s="52"/>
      <c r="H30" s="52"/>
      <c r="I30" s="52"/>
      <c r="J30" s="229" t="s">
        <v>51</v>
      </c>
      <c r="K30" s="230"/>
      <c r="L30" s="52"/>
      <c r="M30" s="226" t="s">
        <v>52</v>
      </c>
      <c r="N30" s="226"/>
      <c r="O30" s="54">
        <f>COUNTIFS($C$36:$C$75,"&lt;&gt;",$D$36:$D$75,"&lt;&gt;Baixa",$I$36:$I$75,"Sí")</f>
        <v>0</v>
      </c>
      <c r="P30" s="57" t="str">
        <f>IFERROR(O30/$O$26,"-")</f>
        <v>-</v>
      </c>
    </row>
    <row r="31" spans="2:16" ht="15" customHeight="1" thickBot="1">
      <c r="B31" s="47"/>
      <c r="C31" s="47"/>
      <c r="D31" s="229" t="s">
        <v>51</v>
      </c>
      <c r="E31" s="230"/>
      <c r="F31" s="47"/>
      <c r="G31" s="47"/>
      <c r="H31" s="47"/>
      <c r="I31" s="47"/>
      <c r="J31" s="47"/>
      <c r="K31" s="47"/>
      <c r="L31" s="47"/>
      <c r="M31" s="226" t="s">
        <v>53</v>
      </c>
      <c r="N31" s="226"/>
      <c r="O31" s="61">
        <f>COUNTIFS($C$36:$C$75,"&lt;&gt;",$D$36:$D$75,"&lt;&gt;Baixa",$J$36:$J$75,"Sí")</f>
        <v>0</v>
      </c>
      <c r="P31" s="60" t="str">
        <f>IFERROR(O31/$O$26,"-")</f>
        <v>-</v>
      </c>
    </row>
    <row r="32" spans="2:16" ht="27" customHeight="1"/>
    <row r="33" spans="1:16" s="46" customFormat="1" ht="21">
      <c r="B33" s="217" t="s">
        <v>54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9"/>
    </row>
    <row r="34" spans="1:16">
      <c r="C34" s="50"/>
      <c r="I34" s="51"/>
      <c r="J34" s="51"/>
      <c r="K34" s="51"/>
      <c r="L34" s="51"/>
      <c r="M34" s="51"/>
    </row>
    <row r="35" spans="1:16" s="62" customFormat="1" ht="27" customHeight="1">
      <c r="B35" s="63" t="s">
        <v>55</v>
      </c>
      <c r="C35" s="63" t="s">
        <v>56</v>
      </c>
      <c r="D35" s="64" t="s">
        <v>57</v>
      </c>
      <c r="E35" s="65" t="s">
        <v>58</v>
      </c>
      <c r="F35" s="65" t="s">
        <v>59</v>
      </c>
      <c r="G35" s="65" t="s">
        <v>60</v>
      </c>
      <c r="H35" s="65" t="s">
        <v>61</v>
      </c>
      <c r="I35" s="65" t="s">
        <v>62</v>
      </c>
      <c r="J35" s="65" t="s">
        <v>63</v>
      </c>
      <c r="K35" s="65" t="s">
        <v>64</v>
      </c>
      <c r="L35" s="65" t="s">
        <v>65</v>
      </c>
      <c r="M35" s="231" t="s">
        <v>66</v>
      </c>
      <c r="N35" s="231"/>
      <c r="O35" s="231"/>
      <c r="P35" s="231"/>
    </row>
    <row r="36" spans="1:16" ht="33" customHeight="1">
      <c r="A36" s="45">
        <v>1</v>
      </c>
      <c r="B36" s="63"/>
      <c r="C36" s="66"/>
      <c r="D36" s="63"/>
      <c r="E36" s="67"/>
      <c r="F36" s="68" t="s">
        <v>67</v>
      </c>
      <c r="G36" s="68" t="s">
        <v>67</v>
      </c>
      <c r="H36" s="68" t="s">
        <v>68</v>
      </c>
      <c r="I36" s="68" t="s">
        <v>68</v>
      </c>
      <c r="J36" s="68" t="s">
        <v>68</v>
      </c>
      <c r="K36" s="68" t="s">
        <v>68</v>
      </c>
      <c r="L36" s="68"/>
      <c r="M36" s="227"/>
      <c r="N36" s="228"/>
      <c r="O36" s="228"/>
      <c r="P36" s="228"/>
    </row>
    <row r="37" spans="1:16" ht="33" customHeight="1">
      <c r="A37" s="45">
        <v>2</v>
      </c>
      <c r="B37" s="63"/>
      <c r="C37" s="66"/>
      <c r="D37" s="63"/>
      <c r="E37" s="67"/>
      <c r="F37" s="68" t="s">
        <v>67</v>
      </c>
      <c r="G37" s="68" t="s">
        <v>67</v>
      </c>
      <c r="H37" s="68" t="s">
        <v>68</v>
      </c>
      <c r="I37" s="68" t="s">
        <v>68</v>
      </c>
      <c r="J37" s="68" t="s">
        <v>68</v>
      </c>
      <c r="K37" s="68" t="s">
        <v>68</v>
      </c>
      <c r="L37" s="68"/>
      <c r="M37" s="227"/>
      <c r="N37" s="228"/>
      <c r="O37" s="228"/>
      <c r="P37" s="228"/>
    </row>
    <row r="38" spans="1:16" ht="33" customHeight="1">
      <c r="A38" s="45">
        <v>3</v>
      </c>
      <c r="B38" s="63"/>
      <c r="C38" s="66"/>
      <c r="D38" s="63"/>
      <c r="E38" s="67"/>
      <c r="F38" s="68" t="s">
        <v>67</v>
      </c>
      <c r="G38" s="68" t="s">
        <v>67</v>
      </c>
      <c r="H38" s="68" t="s">
        <v>68</v>
      </c>
      <c r="I38" s="68" t="s">
        <v>68</v>
      </c>
      <c r="J38" s="68" t="s">
        <v>68</v>
      </c>
      <c r="K38" s="68" t="s">
        <v>68</v>
      </c>
      <c r="L38" s="68"/>
      <c r="M38" s="227"/>
      <c r="N38" s="228"/>
      <c r="O38" s="228"/>
      <c r="P38" s="228"/>
    </row>
    <row r="39" spans="1:16" ht="33" customHeight="1">
      <c r="A39" s="45">
        <v>4</v>
      </c>
      <c r="B39" s="63"/>
      <c r="C39" s="66"/>
      <c r="D39" s="63"/>
      <c r="E39" s="67"/>
      <c r="F39" s="68" t="s">
        <v>67</v>
      </c>
      <c r="G39" s="68" t="s">
        <v>67</v>
      </c>
      <c r="H39" s="68" t="s">
        <v>68</v>
      </c>
      <c r="I39" s="68" t="s">
        <v>68</v>
      </c>
      <c r="J39" s="68" t="s">
        <v>68</v>
      </c>
      <c r="K39" s="68" t="s">
        <v>68</v>
      </c>
      <c r="L39" s="68"/>
      <c r="M39" s="227"/>
      <c r="N39" s="228"/>
      <c r="O39" s="228"/>
      <c r="P39" s="228"/>
    </row>
    <row r="40" spans="1:16" ht="33" customHeight="1">
      <c r="A40" s="45">
        <v>5</v>
      </c>
      <c r="B40" s="63"/>
      <c r="C40" s="66"/>
      <c r="D40" s="63"/>
      <c r="E40" s="67"/>
      <c r="F40" s="68" t="s">
        <v>67</v>
      </c>
      <c r="G40" s="68" t="s">
        <v>67</v>
      </c>
      <c r="H40" s="68" t="s">
        <v>68</v>
      </c>
      <c r="I40" s="68" t="s">
        <v>68</v>
      </c>
      <c r="J40" s="68" t="s">
        <v>68</v>
      </c>
      <c r="K40" s="68" t="s">
        <v>68</v>
      </c>
      <c r="L40" s="68"/>
      <c r="M40" s="227"/>
      <c r="N40" s="228"/>
      <c r="O40" s="228"/>
      <c r="P40" s="228"/>
    </row>
    <row r="41" spans="1:16" ht="33" customHeight="1">
      <c r="A41" s="45">
        <v>6</v>
      </c>
      <c r="B41" s="63"/>
      <c r="C41" s="66"/>
      <c r="D41" s="63"/>
      <c r="E41" s="67"/>
      <c r="F41" s="68" t="s">
        <v>67</v>
      </c>
      <c r="G41" s="68" t="s">
        <v>67</v>
      </c>
      <c r="H41" s="68" t="s">
        <v>68</v>
      </c>
      <c r="I41" s="68" t="s">
        <v>68</v>
      </c>
      <c r="J41" s="68" t="s">
        <v>68</v>
      </c>
      <c r="K41" s="68" t="s">
        <v>68</v>
      </c>
      <c r="L41" s="68"/>
      <c r="M41" s="227"/>
      <c r="N41" s="228"/>
      <c r="O41" s="228"/>
      <c r="P41" s="228"/>
    </row>
    <row r="42" spans="1:16" ht="33" customHeight="1">
      <c r="A42" s="45">
        <v>7</v>
      </c>
      <c r="B42" s="63"/>
      <c r="C42" s="66"/>
      <c r="D42" s="63"/>
      <c r="E42" s="67"/>
      <c r="F42" s="68" t="s">
        <v>67</v>
      </c>
      <c r="G42" s="68" t="s">
        <v>67</v>
      </c>
      <c r="H42" s="68" t="s">
        <v>68</v>
      </c>
      <c r="I42" s="68" t="s">
        <v>68</v>
      </c>
      <c r="J42" s="68" t="s">
        <v>68</v>
      </c>
      <c r="K42" s="68" t="s">
        <v>68</v>
      </c>
      <c r="L42" s="68"/>
      <c r="M42" s="227"/>
      <c r="N42" s="228"/>
      <c r="O42" s="228"/>
      <c r="P42" s="228"/>
    </row>
    <row r="43" spans="1:16" ht="33" customHeight="1">
      <c r="A43" s="45">
        <v>8</v>
      </c>
      <c r="B43" s="63"/>
      <c r="C43" s="66"/>
      <c r="D43" s="63"/>
      <c r="E43" s="67"/>
      <c r="F43" s="68" t="s">
        <v>67</v>
      </c>
      <c r="G43" s="68" t="s">
        <v>67</v>
      </c>
      <c r="H43" s="68" t="s">
        <v>68</v>
      </c>
      <c r="I43" s="68" t="s">
        <v>68</v>
      </c>
      <c r="J43" s="68" t="s">
        <v>68</v>
      </c>
      <c r="K43" s="68" t="s">
        <v>68</v>
      </c>
      <c r="L43" s="68"/>
      <c r="M43" s="227"/>
      <c r="N43" s="228"/>
      <c r="O43" s="228"/>
      <c r="P43" s="228"/>
    </row>
    <row r="44" spans="1:16" ht="33" customHeight="1">
      <c r="A44" s="45">
        <v>9</v>
      </c>
      <c r="B44" s="63"/>
      <c r="C44" s="66"/>
      <c r="D44" s="63"/>
      <c r="E44" s="67"/>
      <c r="F44" s="68" t="s">
        <v>67</v>
      </c>
      <c r="G44" s="68" t="s">
        <v>67</v>
      </c>
      <c r="H44" s="68" t="s">
        <v>68</v>
      </c>
      <c r="I44" s="68" t="s">
        <v>68</v>
      </c>
      <c r="J44" s="68" t="s">
        <v>68</v>
      </c>
      <c r="K44" s="68" t="s">
        <v>68</v>
      </c>
      <c r="L44" s="68"/>
      <c r="M44" s="227"/>
      <c r="N44" s="228"/>
      <c r="O44" s="228"/>
      <c r="P44" s="228"/>
    </row>
    <row r="45" spans="1:16" ht="33" customHeight="1">
      <c r="A45" s="45">
        <v>10</v>
      </c>
      <c r="B45" s="63"/>
      <c r="C45" s="66"/>
      <c r="D45" s="63"/>
      <c r="E45" s="67"/>
      <c r="F45" s="68" t="s">
        <v>67</v>
      </c>
      <c r="G45" s="68" t="s">
        <v>67</v>
      </c>
      <c r="H45" s="68" t="s">
        <v>68</v>
      </c>
      <c r="I45" s="68" t="s">
        <v>68</v>
      </c>
      <c r="J45" s="68" t="s">
        <v>68</v>
      </c>
      <c r="K45" s="68" t="s">
        <v>68</v>
      </c>
      <c r="L45" s="68"/>
      <c r="M45" s="227"/>
      <c r="N45" s="228"/>
      <c r="O45" s="228"/>
      <c r="P45" s="228"/>
    </row>
    <row r="46" spans="1:16" ht="33" customHeight="1">
      <c r="A46" s="45">
        <v>11</v>
      </c>
      <c r="B46" s="63"/>
      <c r="C46" s="66"/>
      <c r="D46" s="63"/>
      <c r="E46" s="67"/>
      <c r="F46" s="68" t="s">
        <v>67</v>
      </c>
      <c r="G46" s="68" t="s">
        <v>67</v>
      </c>
      <c r="H46" s="68" t="s">
        <v>68</v>
      </c>
      <c r="I46" s="68" t="s">
        <v>68</v>
      </c>
      <c r="J46" s="68" t="s">
        <v>68</v>
      </c>
      <c r="K46" s="68" t="s">
        <v>68</v>
      </c>
      <c r="L46" s="68"/>
      <c r="M46" s="227"/>
      <c r="N46" s="228"/>
      <c r="O46" s="228"/>
      <c r="P46" s="228"/>
    </row>
    <row r="47" spans="1:16" ht="33" customHeight="1">
      <c r="A47" s="45">
        <v>12</v>
      </c>
      <c r="B47" s="63"/>
      <c r="C47" s="66"/>
      <c r="D47" s="63"/>
      <c r="E47" s="67"/>
      <c r="F47" s="68" t="s">
        <v>67</v>
      </c>
      <c r="G47" s="68" t="s">
        <v>67</v>
      </c>
      <c r="H47" s="68" t="s">
        <v>68</v>
      </c>
      <c r="I47" s="68" t="s">
        <v>68</v>
      </c>
      <c r="J47" s="68" t="s">
        <v>68</v>
      </c>
      <c r="K47" s="68" t="s">
        <v>68</v>
      </c>
      <c r="L47" s="68"/>
      <c r="M47" s="227"/>
      <c r="N47" s="228"/>
      <c r="O47" s="228"/>
      <c r="P47" s="228"/>
    </row>
    <row r="48" spans="1:16" ht="33" customHeight="1">
      <c r="A48" s="45">
        <v>13</v>
      </c>
      <c r="B48" s="63"/>
      <c r="C48" s="66"/>
      <c r="D48" s="63"/>
      <c r="E48" s="67"/>
      <c r="F48" s="68" t="s">
        <v>67</v>
      </c>
      <c r="G48" s="68" t="s">
        <v>67</v>
      </c>
      <c r="H48" s="68" t="s">
        <v>68</v>
      </c>
      <c r="I48" s="68" t="s">
        <v>68</v>
      </c>
      <c r="J48" s="68" t="s">
        <v>68</v>
      </c>
      <c r="K48" s="68" t="s">
        <v>68</v>
      </c>
      <c r="L48" s="68"/>
      <c r="M48" s="227"/>
      <c r="N48" s="228"/>
      <c r="O48" s="228"/>
      <c r="P48" s="228"/>
    </row>
    <row r="49" spans="1:16" ht="33" customHeight="1">
      <c r="A49" s="45">
        <v>14</v>
      </c>
      <c r="B49" s="63"/>
      <c r="C49" s="66"/>
      <c r="D49" s="63"/>
      <c r="E49" s="67"/>
      <c r="F49" s="68" t="s">
        <v>67</v>
      </c>
      <c r="G49" s="68" t="s">
        <v>67</v>
      </c>
      <c r="H49" s="68" t="s">
        <v>68</v>
      </c>
      <c r="I49" s="68" t="s">
        <v>68</v>
      </c>
      <c r="J49" s="68" t="s">
        <v>68</v>
      </c>
      <c r="K49" s="68" t="s">
        <v>68</v>
      </c>
      <c r="L49" s="68"/>
      <c r="M49" s="227"/>
      <c r="N49" s="228"/>
      <c r="O49" s="228"/>
      <c r="P49" s="228"/>
    </row>
    <row r="50" spans="1:16" ht="33" customHeight="1">
      <c r="A50" s="45">
        <v>15</v>
      </c>
      <c r="B50" s="63"/>
      <c r="C50" s="66"/>
      <c r="D50" s="63"/>
      <c r="E50" s="67"/>
      <c r="F50" s="68" t="s">
        <v>67</v>
      </c>
      <c r="G50" s="68" t="s">
        <v>67</v>
      </c>
      <c r="H50" s="68" t="s">
        <v>68</v>
      </c>
      <c r="I50" s="68" t="s">
        <v>68</v>
      </c>
      <c r="J50" s="68" t="s">
        <v>68</v>
      </c>
      <c r="K50" s="68" t="s">
        <v>68</v>
      </c>
      <c r="L50" s="68"/>
      <c r="M50" s="227"/>
      <c r="N50" s="228"/>
      <c r="O50" s="228"/>
      <c r="P50" s="228"/>
    </row>
    <row r="51" spans="1:16" ht="33" customHeight="1">
      <c r="A51" s="45">
        <v>16</v>
      </c>
      <c r="B51" s="63"/>
      <c r="C51" s="66"/>
      <c r="D51" s="63"/>
      <c r="E51" s="67"/>
      <c r="F51" s="68" t="s">
        <v>67</v>
      </c>
      <c r="G51" s="68" t="s">
        <v>67</v>
      </c>
      <c r="H51" s="68" t="s">
        <v>68</v>
      </c>
      <c r="I51" s="68" t="s">
        <v>68</v>
      </c>
      <c r="J51" s="68" t="s">
        <v>68</v>
      </c>
      <c r="K51" s="68" t="s">
        <v>68</v>
      </c>
      <c r="L51" s="68"/>
      <c r="M51" s="227"/>
      <c r="N51" s="228"/>
      <c r="O51" s="228"/>
      <c r="P51" s="228"/>
    </row>
    <row r="52" spans="1:16" ht="33" customHeight="1">
      <c r="A52" s="45">
        <v>17</v>
      </c>
      <c r="B52" s="63"/>
      <c r="C52" s="66"/>
      <c r="D52" s="63"/>
      <c r="E52" s="67"/>
      <c r="F52" s="68" t="s">
        <v>67</v>
      </c>
      <c r="G52" s="68" t="s">
        <v>67</v>
      </c>
      <c r="H52" s="68" t="s">
        <v>68</v>
      </c>
      <c r="I52" s="68" t="s">
        <v>68</v>
      </c>
      <c r="J52" s="68" t="s">
        <v>68</v>
      </c>
      <c r="K52" s="68" t="s">
        <v>68</v>
      </c>
      <c r="L52" s="68"/>
      <c r="M52" s="227"/>
      <c r="N52" s="228"/>
      <c r="O52" s="228"/>
      <c r="P52" s="228"/>
    </row>
    <row r="53" spans="1:16" ht="33" customHeight="1">
      <c r="A53" s="45">
        <v>18</v>
      </c>
      <c r="B53" s="63"/>
      <c r="C53" s="66"/>
      <c r="D53" s="63"/>
      <c r="E53" s="67"/>
      <c r="F53" s="68" t="s">
        <v>67</v>
      </c>
      <c r="G53" s="68" t="s">
        <v>67</v>
      </c>
      <c r="H53" s="68" t="s">
        <v>68</v>
      </c>
      <c r="I53" s="68" t="s">
        <v>68</v>
      </c>
      <c r="J53" s="68" t="s">
        <v>68</v>
      </c>
      <c r="K53" s="68" t="s">
        <v>68</v>
      </c>
      <c r="L53" s="68"/>
      <c r="M53" s="227"/>
      <c r="N53" s="228"/>
      <c r="O53" s="228"/>
      <c r="P53" s="228"/>
    </row>
    <row r="54" spans="1:16" ht="33" customHeight="1">
      <c r="A54" s="45">
        <v>19</v>
      </c>
      <c r="B54" s="63"/>
      <c r="C54" s="66"/>
      <c r="D54" s="63"/>
      <c r="E54" s="67"/>
      <c r="F54" s="68" t="s">
        <v>67</v>
      </c>
      <c r="G54" s="68" t="s">
        <v>67</v>
      </c>
      <c r="H54" s="68" t="s">
        <v>68</v>
      </c>
      <c r="I54" s="68" t="s">
        <v>68</v>
      </c>
      <c r="J54" s="68" t="s">
        <v>68</v>
      </c>
      <c r="K54" s="68" t="s">
        <v>68</v>
      </c>
      <c r="L54" s="68"/>
      <c r="M54" s="227"/>
      <c r="N54" s="228"/>
      <c r="O54" s="228"/>
      <c r="P54" s="228"/>
    </row>
    <row r="55" spans="1:16" ht="33" customHeight="1">
      <c r="A55" s="45">
        <v>20</v>
      </c>
      <c r="B55" s="63"/>
      <c r="C55" s="66"/>
      <c r="D55" s="63"/>
      <c r="E55" s="67"/>
      <c r="F55" s="68" t="s">
        <v>67</v>
      </c>
      <c r="G55" s="68" t="s">
        <v>67</v>
      </c>
      <c r="H55" s="68" t="s">
        <v>68</v>
      </c>
      <c r="I55" s="68" t="s">
        <v>68</v>
      </c>
      <c r="J55" s="68" t="s">
        <v>68</v>
      </c>
      <c r="K55" s="68" t="s">
        <v>68</v>
      </c>
      <c r="L55" s="68"/>
      <c r="M55" s="227"/>
      <c r="N55" s="228"/>
      <c r="O55" s="228"/>
      <c r="P55" s="228"/>
    </row>
    <row r="56" spans="1:16" ht="33" customHeight="1">
      <c r="A56" s="45">
        <v>21</v>
      </c>
      <c r="B56" s="63"/>
      <c r="C56" s="66"/>
      <c r="D56" s="63"/>
      <c r="E56" s="67"/>
      <c r="F56" s="68" t="s">
        <v>67</v>
      </c>
      <c r="G56" s="68" t="s">
        <v>67</v>
      </c>
      <c r="H56" s="68" t="s">
        <v>68</v>
      </c>
      <c r="I56" s="68" t="s">
        <v>68</v>
      </c>
      <c r="J56" s="68" t="s">
        <v>68</v>
      </c>
      <c r="K56" s="68" t="s">
        <v>68</v>
      </c>
      <c r="L56" s="68"/>
      <c r="M56" s="227"/>
      <c r="N56" s="228"/>
      <c r="O56" s="228"/>
      <c r="P56" s="228"/>
    </row>
    <row r="57" spans="1:16" ht="33" customHeight="1">
      <c r="A57" s="45">
        <v>22</v>
      </c>
      <c r="B57" s="63"/>
      <c r="C57" s="66"/>
      <c r="D57" s="63"/>
      <c r="E57" s="67"/>
      <c r="F57" s="68" t="s">
        <v>67</v>
      </c>
      <c r="G57" s="68" t="s">
        <v>67</v>
      </c>
      <c r="H57" s="68" t="s">
        <v>68</v>
      </c>
      <c r="I57" s="68" t="s">
        <v>68</v>
      </c>
      <c r="J57" s="68" t="s">
        <v>68</v>
      </c>
      <c r="K57" s="68" t="s">
        <v>68</v>
      </c>
      <c r="L57" s="68"/>
      <c r="M57" s="227"/>
      <c r="N57" s="228"/>
      <c r="O57" s="228"/>
      <c r="P57" s="228"/>
    </row>
    <row r="58" spans="1:16" ht="33" customHeight="1">
      <c r="A58" s="45">
        <v>23</v>
      </c>
      <c r="B58" s="63"/>
      <c r="C58" s="66"/>
      <c r="D58" s="63"/>
      <c r="E58" s="67"/>
      <c r="F58" s="68" t="s">
        <v>67</v>
      </c>
      <c r="G58" s="68" t="s">
        <v>67</v>
      </c>
      <c r="H58" s="68" t="s">
        <v>68</v>
      </c>
      <c r="I58" s="68" t="s">
        <v>68</v>
      </c>
      <c r="J58" s="68" t="s">
        <v>68</v>
      </c>
      <c r="K58" s="68" t="s">
        <v>68</v>
      </c>
      <c r="L58" s="68"/>
      <c r="M58" s="227"/>
      <c r="N58" s="228"/>
      <c r="O58" s="228"/>
      <c r="P58" s="228"/>
    </row>
    <row r="59" spans="1:16" ht="33" customHeight="1">
      <c r="A59" s="45">
        <v>24</v>
      </c>
      <c r="B59" s="63"/>
      <c r="C59" s="66"/>
      <c r="D59" s="63"/>
      <c r="E59" s="67"/>
      <c r="F59" s="68" t="s">
        <v>67</v>
      </c>
      <c r="G59" s="68" t="s">
        <v>67</v>
      </c>
      <c r="H59" s="68" t="s">
        <v>68</v>
      </c>
      <c r="I59" s="68" t="s">
        <v>68</v>
      </c>
      <c r="J59" s="68" t="s">
        <v>68</v>
      </c>
      <c r="K59" s="68" t="s">
        <v>68</v>
      </c>
      <c r="L59" s="68"/>
      <c r="M59" s="227"/>
      <c r="N59" s="228"/>
      <c r="O59" s="228"/>
      <c r="P59" s="228"/>
    </row>
    <row r="60" spans="1:16" ht="33" customHeight="1">
      <c r="A60" s="45">
        <v>25</v>
      </c>
      <c r="B60" s="63"/>
      <c r="C60" s="66"/>
      <c r="D60" s="63"/>
      <c r="E60" s="67"/>
      <c r="F60" s="68" t="s">
        <v>67</v>
      </c>
      <c r="G60" s="68" t="s">
        <v>67</v>
      </c>
      <c r="H60" s="68" t="s">
        <v>68</v>
      </c>
      <c r="I60" s="68" t="s">
        <v>68</v>
      </c>
      <c r="J60" s="68" t="s">
        <v>68</v>
      </c>
      <c r="K60" s="68" t="s">
        <v>68</v>
      </c>
      <c r="L60" s="68"/>
      <c r="M60" s="227"/>
      <c r="N60" s="228"/>
      <c r="O60" s="228"/>
      <c r="P60" s="228"/>
    </row>
    <row r="61" spans="1:16" ht="33" customHeight="1">
      <c r="A61" s="45">
        <v>26</v>
      </c>
      <c r="B61" s="63"/>
      <c r="C61" s="66"/>
      <c r="D61" s="63"/>
      <c r="E61" s="67"/>
      <c r="F61" s="68" t="s">
        <v>67</v>
      </c>
      <c r="G61" s="68" t="s">
        <v>67</v>
      </c>
      <c r="H61" s="68" t="s">
        <v>68</v>
      </c>
      <c r="I61" s="68" t="s">
        <v>68</v>
      </c>
      <c r="J61" s="68" t="s">
        <v>68</v>
      </c>
      <c r="K61" s="68" t="s">
        <v>68</v>
      </c>
      <c r="L61" s="68"/>
      <c r="M61" s="227"/>
      <c r="N61" s="228"/>
      <c r="O61" s="228"/>
      <c r="P61" s="228"/>
    </row>
    <row r="62" spans="1:16" ht="33" customHeight="1">
      <c r="A62" s="45">
        <v>27</v>
      </c>
      <c r="B62" s="63"/>
      <c r="C62" s="66"/>
      <c r="D62" s="63"/>
      <c r="E62" s="67"/>
      <c r="F62" s="68" t="s">
        <v>67</v>
      </c>
      <c r="G62" s="68" t="s">
        <v>67</v>
      </c>
      <c r="H62" s="68" t="s">
        <v>68</v>
      </c>
      <c r="I62" s="68" t="s">
        <v>68</v>
      </c>
      <c r="J62" s="68" t="s">
        <v>68</v>
      </c>
      <c r="K62" s="68" t="s">
        <v>68</v>
      </c>
      <c r="L62" s="68"/>
      <c r="M62" s="227"/>
      <c r="N62" s="228"/>
      <c r="O62" s="228"/>
      <c r="P62" s="228"/>
    </row>
    <row r="63" spans="1:16" ht="33" customHeight="1">
      <c r="A63" s="45">
        <v>28</v>
      </c>
      <c r="B63" s="63"/>
      <c r="C63" s="66"/>
      <c r="D63" s="63"/>
      <c r="E63" s="67"/>
      <c r="F63" s="68" t="s">
        <v>67</v>
      </c>
      <c r="G63" s="68" t="s">
        <v>67</v>
      </c>
      <c r="H63" s="68" t="s">
        <v>68</v>
      </c>
      <c r="I63" s="68" t="s">
        <v>68</v>
      </c>
      <c r="J63" s="68" t="s">
        <v>68</v>
      </c>
      <c r="K63" s="68" t="s">
        <v>68</v>
      </c>
      <c r="L63" s="68"/>
      <c r="M63" s="227"/>
      <c r="N63" s="228"/>
      <c r="O63" s="228"/>
      <c r="P63" s="228"/>
    </row>
    <row r="64" spans="1:16" ht="33" customHeight="1">
      <c r="A64" s="45">
        <v>29</v>
      </c>
      <c r="B64" s="63"/>
      <c r="C64" s="66"/>
      <c r="D64" s="63"/>
      <c r="E64" s="67"/>
      <c r="F64" s="68" t="s">
        <v>67</v>
      </c>
      <c r="G64" s="68" t="s">
        <v>67</v>
      </c>
      <c r="H64" s="68" t="s">
        <v>68</v>
      </c>
      <c r="I64" s="68" t="s">
        <v>68</v>
      </c>
      <c r="J64" s="68" t="s">
        <v>68</v>
      </c>
      <c r="K64" s="68" t="s">
        <v>68</v>
      </c>
      <c r="L64" s="68"/>
      <c r="M64" s="227"/>
      <c r="N64" s="228"/>
      <c r="O64" s="228"/>
      <c r="P64" s="228"/>
    </row>
    <row r="65" spans="1:16" ht="33" customHeight="1">
      <c r="A65" s="45">
        <v>30</v>
      </c>
      <c r="B65" s="63"/>
      <c r="C65" s="66"/>
      <c r="D65" s="63"/>
      <c r="E65" s="67"/>
      <c r="F65" s="68" t="s">
        <v>67</v>
      </c>
      <c r="G65" s="68" t="s">
        <v>67</v>
      </c>
      <c r="H65" s="68" t="s">
        <v>68</v>
      </c>
      <c r="I65" s="68" t="s">
        <v>68</v>
      </c>
      <c r="J65" s="68" t="s">
        <v>68</v>
      </c>
      <c r="K65" s="68" t="s">
        <v>68</v>
      </c>
      <c r="L65" s="68"/>
      <c r="M65" s="227"/>
      <c r="N65" s="228"/>
      <c r="O65" s="228"/>
      <c r="P65" s="228"/>
    </row>
    <row r="66" spans="1:16" ht="33" customHeight="1">
      <c r="A66" s="45">
        <v>31</v>
      </c>
      <c r="B66" s="63"/>
      <c r="C66" s="66"/>
      <c r="D66" s="63"/>
      <c r="E66" s="67"/>
      <c r="F66" s="68" t="s">
        <v>67</v>
      </c>
      <c r="G66" s="68" t="s">
        <v>67</v>
      </c>
      <c r="H66" s="68" t="s">
        <v>68</v>
      </c>
      <c r="I66" s="68" t="s">
        <v>68</v>
      </c>
      <c r="J66" s="68" t="s">
        <v>68</v>
      </c>
      <c r="K66" s="68" t="s">
        <v>68</v>
      </c>
      <c r="L66" s="68"/>
      <c r="M66" s="227"/>
      <c r="N66" s="228"/>
      <c r="O66" s="228"/>
      <c r="P66" s="228"/>
    </row>
    <row r="67" spans="1:16" ht="33" customHeight="1">
      <c r="A67" s="45">
        <v>32</v>
      </c>
      <c r="B67" s="63"/>
      <c r="C67" s="66"/>
      <c r="D67" s="63"/>
      <c r="E67" s="67"/>
      <c r="F67" s="68" t="s">
        <v>67</v>
      </c>
      <c r="G67" s="68" t="s">
        <v>67</v>
      </c>
      <c r="H67" s="68" t="s">
        <v>68</v>
      </c>
      <c r="I67" s="68" t="s">
        <v>68</v>
      </c>
      <c r="J67" s="68" t="s">
        <v>68</v>
      </c>
      <c r="K67" s="68" t="s">
        <v>68</v>
      </c>
      <c r="L67" s="68"/>
      <c r="M67" s="227"/>
      <c r="N67" s="228"/>
      <c r="O67" s="228"/>
      <c r="P67" s="228"/>
    </row>
    <row r="68" spans="1:16" ht="33" customHeight="1">
      <c r="A68" s="45">
        <v>33</v>
      </c>
      <c r="B68" s="63"/>
      <c r="C68" s="66"/>
      <c r="D68" s="63"/>
      <c r="E68" s="67"/>
      <c r="F68" s="68" t="s">
        <v>67</v>
      </c>
      <c r="G68" s="68" t="s">
        <v>67</v>
      </c>
      <c r="H68" s="68" t="s">
        <v>68</v>
      </c>
      <c r="I68" s="68" t="s">
        <v>68</v>
      </c>
      <c r="J68" s="68" t="s">
        <v>68</v>
      </c>
      <c r="K68" s="68" t="s">
        <v>68</v>
      </c>
      <c r="L68" s="68"/>
      <c r="M68" s="227"/>
      <c r="N68" s="228"/>
      <c r="O68" s="228"/>
      <c r="P68" s="228"/>
    </row>
    <row r="69" spans="1:16" ht="33" customHeight="1">
      <c r="A69" s="45">
        <v>34</v>
      </c>
      <c r="B69" s="63"/>
      <c r="C69" s="66"/>
      <c r="D69" s="63"/>
      <c r="E69" s="67"/>
      <c r="F69" s="68" t="s">
        <v>67</v>
      </c>
      <c r="G69" s="68" t="s">
        <v>67</v>
      </c>
      <c r="H69" s="68" t="s">
        <v>68</v>
      </c>
      <c r="I69" s="68" t="s">
        <v>68</v>
      </c>
      <c r="J69" s="68" t="s">
        <v>68</v>
      </c>
      <c r="K69" s="68" t="s">
        <v>68</v>
      </c>
      <c r="L69" s="68"/>
      <c r="M69" s="227"/>
      <c r="N69" s="228"/>
      <c r="O69" s="228"/>
      <c r="P69" s="228"/>
    </row>
    <row r="70" spans="1:16" ht="33" customHeight="1">
      <c r="A70" s="45">
        <v>35</v>
      </c>
      <c r="B70" s="63"/>
      <c r="C70" s="66"/>
      <c r="D70" s="63"/>
      <c r="E70" s="67"/>
      <c r="F70" s="68" t="s">
        <v>67</v>
      </c>
      <c r="G70" s="68" t="s">
        <v>67</v>
      </c>
      <c r="H70" s="68" t="s">
        <v>68</v>
      </c>
      <c r="I70" s="68" t="s">
        <v>68</v>
      </c>
      <c r="J70" s="68" t="s">
        <v>68</v>
      </c>
      <c r="K70" s="68" t="s">
        <v>68</v>
      </c>
      <c r="L70" s="68"/>
      <c r="M70" s="227"/>
      <c r="N70" s="228"/>
      <c r="O70" s="228"/>
      <c r="P70" s="228"/>
    </row>
    <row r="71" spans="1:16" ht="33" customHeight="1">
      <c r="A71" s="45">
        <v>36</v>
      </c>
      <c r="B71" s="63"/>
      <c r="C71" s="66"/>
      <c r="D71" s="63"/>
      <c r="E71" s="67"/>
      <c r="F71" s="68" t="s">
        <v>67</v>
      </c>
      <c r="G71" s="68" t="s">
        <v>67</v>
      </c>
      <c r="H71" s="68" t="s">
        <v>68</v>
      </c>
      <c r="I71" s="68" t="s">
        <v>68</v>
      </c>
      <c r="J71" s="68" t="s">
        <v>68</v>
      </c>
      <c r="K71" s="68" t="s">
        <v>68</v>
      </c>
      <c r="L71" s="68"/>
      <c r="M71" s="227"/>
      <c r="N71" s="228"/>
      <c r="O71" s="228"/>
      <c r="P71" s="228"/>
    </row>
    <row r="72" spans="1:16" ht="33" customHeight="1">
      <c r="A72" s="45">
        <v>37</v>
      </c>
      <c r="B72" s="63"/>
      <c r="C72" s="66"/>
      <c r="D72" s="63"/>
      <c r="E72" s="67"/>
      <c r="F72" s="68" t="s">
        <v>67</v>
      </c>
      <c r="G72" s="68" t="s">
        <v>67</v>
      </c>
      <c r="H72" s="68" t="s">
        <v>68</v>
      </c>
      <c r="I72" s="68" t="s">
        <v>68</v>
      </c>
      <c r="J72" s="68" t="s">
        <v>68</v>
      </c>
      <c r="K72" s="68" t="s">
        <v>68</v>
      </c>
      <c r="L72" s="68"/>
      <c r="M72" s="227"/>
      <c r="N72" s="228"/>
      <c r="O72" s="228"/>
      <c r="P72" s="228"/>
    </row>
    <row r="73" spans="1:16" ht="33" customHeight="1">
      <c r="A73" s="45">
        <v>38</v>
      </c>
      <c r="B73" s="63"/>
      <c r="C73" s="66"/>
      <c r="D73" s="63"/>
      <c r="E73" s="67"/>
      <c r="F73" s="68" t="s">
        <v>67</v>
      </c>
      <c r="G73" s="68" t="s">
        <v>67</v>
      </c>
      <c r="H73" s="68" t="s">
        <v>68</v>
      </c>
      <c r="I73" s="68" t="s">
        <v>68</v>
      </c>
      <c r="J73" s="68" t="s">
        <v>68</v>
      </c>
      <c r="K73" s="68" t="s">
        <v>68</v>
      </c>
      <c r="L73" s="68"/>
      <c r="M73" s="227"/>
      <c r="N73" s="228"/>
      <c r="O73" s="228"/>
      <c r="P73" s="228"/>
    </row>
    <row r="74" spans="1:16" ht="33" customHeight="1">
      <c r="A74" s="45">
        <v>39</v>
      </c>
      <c r="B74" s="63"/>
      <c r="C74" s="66"/>
      <c r="D74" s="63"/>
      <c r="E74" s="67"/>
      <c r="F74" s="68" t="s">
        <v>67</v>
      </c>
      <c r="G74" s="68" t="s">
        <v>67</v>
      </c>
      <c r="H74" s="68" t="s">
        <v>68</v>
      </c>
      <c r="I74" s="68" t="s">
        <v>68</v>
      </c>
      <c r="J74" s="68" t="s">
        <v>68</v>
      </c>
      <c r="K74" s="68" t="s">
        <v>68</v>
      </c>
      <c r="L74" s="68"/>
      <c r="M74" s="227"/>
      <c r="N74" s="228"/>
      <c r="O74" s="228"/>
      <c r="P74" s="228"/>
    </row>
    <row r="75" spans="1:16" ht="26.25" customHeight="1">
      <c r="A75" s="45">
        <v>40</v>
      </c>
      <c r="B75" s="63"/>
      <c r="C75" s="66"/>
      <c r="D75" s="63"/>
      <c r="E75" s="67"/>
      <c r="F75" s="68" t="s">
        <v>67</v>
      </c>
      <c r="G75" s="68" t="s">
        <v>67</v>
      </c>
      <c r="H75" s="68" t="s">
        <v>68</v>
      </c>
      <c r="I75" s="68" t="s">
        <v>68</v>
      </c>
      <c r="J75" s="68" t="s">
        <v>68</v>
      </c>
      <c r="K75" s="68" t="s">
        <v>68</v>
      </c>
      <c r="L75" s="68"/>
      <c r="M75" s="227"/>
      <c r="N75" s="228"/>
      <c r="O75" s="228"/>
      <c r="P75" s="228"/>
    </row>
    <row r="76" spans="1:16" ht="26.25" customHeight="1"/>
    <row r="77" spans="1:16" s="46" customFormat="1" ht="26.25" customHeight="1">
      <c r="B77" s="232" t="s">
        <v>69</v>
      </c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4"/>
    </row>
    <row r="78" spans="1:16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spans="1:16" s="42" customFormat="1" ht="26.25" customHeight="1">
      <c r="A79" s="69">
        <v>1</v>
      </c>
      <c r="B79" s="235" t="str">
        <f>IF(ACORDS!E9 = "", "", ACORDS!E9)</f>
        <v/>
      </c>
      <c r="C79" s="235"/>
      <c r="D79" s="235"/>
      <c r="E79" s="235"/>
      <c r="F79" s="235"/>
      <c r="G79" s="235"/>
      <c r="H79" s="235"/>
      <c r="I79" s="235"/>
      <c r="J79" s="235"/>
      <c r="K79" s="235"/>
      <c r="L79" s="236" t="s">
        <v>70</v>
      </c>
      <c r="M79" s="237"/>
      <c r="N79" s="237"/>
      <c r="O79" s="237"/>
      <c r="P79" s="238"/>
    </row>
    <row r="80" spans="1:16" s="42" customFormat="1" ht="30.75" customHeight="1">
      <c r="A80" s="69">
        <v>2</v>
      </c>
      <c r="B80" s="235" t="str">
        <f>IF(ACORDS!E10 = "", "", ACORDS!E10)</f>
        <v/>
      </c>
      <c r="C80" s="235"/>
      <c r="D80" s="235"/>
      <c r="E80" s="235"/>
      <c r="F80" s="235"/>
      <c r="G80" s="235"/>
      <c r="H80" s="235"/>
      <c r="I80" s="235"/>
      <c r="J80" s="235"/>
      <c r="K80" s="235"/>
      <c r="L80" s="239"/>
      <c r="M80" s="240"/>
      <c r="N80" s="240"/>
      <c r="O80" s="240"/>
      <c r="P80" s="241"/>
    </row>
    <row r="81" spans="1:16" s="42" customFormat="1" ht="30.75" customHeight="1">
      <c r="A81" s="69">
        <v>3</v>
      </c>
      <c r="B81" s="235" t="str">
        <f>IF(ACORDS!E11 = "", "", ACORDS!E11)</f>
        <v/>
      </c>
      <c r="C81" s="235"/>
      <c r="D81" s="235"/>
      <c r="E81" s="235"/>
      <c r="F81" s="235"/>
      <c r="G81" s="235"/>
      <c r="H81" s="235"/>
      <c r="I81" s="235"/>
      <c r="J81" s="235"/>
      <c r="K81" s="235"/>
      <c r="L81" s="239"/>
      <c r="M81" s="240"/>
      <c r="N81" s="240"/>
      <c r="O81" s="240"/>
      <c r="P81" s="241"/>
    </row>
    <row r="82" spans="1:16" s="42" customFormat="1" ht="30.75" customHeight="1">
      <c r="A82" s="69">
        <v>4</v>
      </c>
      <c r="B82" s="235" t="str">
        <f>IF(ACORDS!E12 = "", "", ACORDS!E12)</f>
        <v/>
      </c>
      <c r="C82" s="235"/>
      <c r="D82" s="235"/>
      <c r="E82" s="235"/>
      <c r="F82" s="235"/>
      <c r="G82" s="235"/>
      <c r="H82" s="235"/>
      <c r="I82" s="235"/>
      <c r="J82" s="235"/>
      <c r="K82" s="235"/>
      <c r="L82" s="239"/>
      <c r="M82" s="240"/>
      <c r="N82" s="240"/>
      <c r="O82" s="240"/>
      <c r="P82" s="241"/>
    </row>
    <row r="83" spans="1:16" s="42" customFormat="1" ht="30.75" customHeight="1">
      <c r="A83" s="69">
        <v>5</v>
      </c>
      <c r="B83" s="235" t="str">
        <f>IF(ACORDS!E13 = "", "", ACORDS!E13)</f>
        <v/>
      </c>
      <c r="C83" s="235"/>
      <c r="D83" s="235"/>
      <c r="E83" s="235"/>
      <c r="F83" s="235"/>
      <c r="G83" s="235"/>
      <c r="H83" s="235"/>
      <c r="I83" s="235"/>
      <c r="J83" s="235"/>
      <c r="K83" s="235"/>
      <c r="L83" s="239"/>
      <c r="M83" s="240"/>
      <c r="N83" s="240"/>
      <c r="O83" s="240"/>
      <c r="P83" s="241"/>
    </row>
    <row r="84" spans="1:16" s="42" customFormat="1" ht="30.75" customHeight="1">
      <c r="A84" s="69">
        <v>6</v>
      </c>
      <c r="B84" s="235" t="str">
        <f>IF(ACORDS!E14 = "", "", ACORDS!E14)</f>
        <v/>
      </c>
      <c r="C84" s="235"/>
      <c r="D84" s="235"/>
      <c r="E84" s="235"/>
      <c r="F84" s="235"/>
      <c r="G84" s="235"/>
      <c r="H84" s="235"/>
      <c r="I84" s="235"/>
      <c r="J84" s="235"/>
      <c r="K84" s="235"/>
      <c r="L84" s="239"/>
      <c r="M84" s="240"/>
      <c r="N84" s="240"/>
      <c r="O84" s="240"/>
      <c r="P84" s="241"/>
    </row>
    <row r="85" spans="1:16" s="42" customFormat="1" ht="30.75" customHeight="1" thickBot="1">
      <c r="A85" s="69">
        <v>7</v>
      </c>
      <c r="B85" s="235" t="str">
        <f>IF(ACORDS!E15 = "", "", ACORDS!E15)</f>
        <v/>
      </c>
      <c r="C85" s="235"/>
      <c r="D85" s="235"/>
      <c r="E85" s="235"/>
      <c r="F85" s="235"/>
      <c r="G85" s="235"/>
      <c r="H85" s="235"/>
      <c r="I85" s="235"/>
      <c r="J85" s="235"/>
      <c r="K85" s="235"/>
      <c r="L85" s="242"/>
      <c r="M85" s="243"/>
      <c r="N85" s="243"/>
      <c r="O85" s="243"/>
      <c r="P85" s="244"/>
    </row>
    <row r="86" spans="1:16">
      <c r="A86" s="208" t="s">
        <v>71</v>
      </c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</row>
    <row r="87" spans="1:16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</row>
    <row r="88" spans="1:16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</row>
  </sheetData>
  <mergeCells count="92">
    <mergeCell ref="A86:P88"/>
    <mergeCell ref="B79:K79"/>
    <mergeCell ref="L79:P85"/>
    <mergeCell ref="B80:K80"/>
    <mergeCell ref="B81:K81"/>
    <mergeCell ref="B82:K82"/>
    <mergeCell ref="B83:K83"/>
    <mergeCell ref="B84:K84"/>
    <mergeCell ref="B85:K85"/>
    <mergeCell ref="B77:P77"/>
    <mergeCell ref="M65:P65"/>
    <mergeCell ref="M66:P66"/>
    <mergeCell ref="M67:P67"/>
    <mergeCell ref="M68:P68"/>
    <mergeCell ref="M69:P69"/>
    <mergeCell ref="M70:P70"/>
    <mergeCell ref="M71:P71"/>
    <mergeCell ref="M72:P72"/>
    <mergeCell ref="M73:P73"/>
    <mergeCell ref="M74:P74"/>
    <mergeCell ref="M75:P75"/>
    <mergeCell ref="M64:P64"/>
    <mergeCell ref="M53:P53"/>
    <mergeCell ref="M54:P54"/>
    <mergeCell ref="M55:P55"/>
    <mergeCell ref="M56:P56"/>
    <mergeCell ref="M57:P57"/>
    <mergeCell ref="M58:P58"/>
    <mergeCell ref="M59:P59"/>
    <mergeCell ref="M60:P60"/>
    <mergeCell ref="M61:P61"/>
    <mergeCell ref="M62:P62"/>
    <mergeCell ref="M63:P63"/>
    <mergeCell ref="M52:P52"/>
    <mergeCell ref="M41:P41"/>
    <mergeCell ref="M42:P42"/>
    <mergeCell ref="M43:P43"/>
    <mergeCell ref="M44:P44"/>
    <mergeCell ref="M45:P45"/>
    <mergeCell ref="M46:P46"/>
    <mergeCell ref="M47:P47"/>
    <mergeCell ref="M48:P48"/>
    <mergeCell ref="M49:P49"/>
    <mergeCell ref="M50:P50"/>
    <mergeCell ref="M51:P51"/>
    <mergeCell ref="M40:P40"/>
    <mergeCell ref="B30:C30"/>
    <mergeCell ref="J30:K30"/>
    <mergeCell ref="M30:N30"/>
    <mergeCell ref="D31:E31"/>
    <mergeCell ref="M31:N31"/>
    <mergeCell ref="B33:P33"/>
    <mergeCell ref="M35:P35"/>
    <mergeCell ref="M36:P36"/>
    <mergeCell ref="M37:P37"/>
    <mergeCell ref="M38:P38"/>
    <mergeCell ref="M39:P39"/>
    <mergeCell ref="B28:C28"/>
    <mergeCell ref="F28:I28"/>
    <mergeCell ref="M28:N28"/>
    <mergeCell ref="B29:C29"/>
    <mergeCell ref="F29:I29"/>
    <mergeCell ref="M29:N29"/>
    <mergeCell ref="B24:P24"/>
    <mergeCell ref="B26:E26"/>
    <mergeCell ref="G26:K26"/>
    <mergeCell ref="M26:N26"/>
    <mergeCell ref="B27:C27"/>
    <mergeCell ref="F27:I27"/>
    <mergeCell ref="M27:N27"/>
    <mergeCell ref="B22:P22"/>
    <mergeCell ref="J6:M6"/>
    <mergeCell ref="H7:I7"/>
    <mergeCell ref="J7:M7"/>
    <mergeCell ref="B9:P9"/>
    <mergeCell ref="B11:P11"/>
    <mergeCell ref="B12:P12"/>
    <mergeCell ref="B14:P14"/>
    <mergeCell ref="B15:P15"/>
    <mergeCell ref="B17:P17"/>
    <mergeCell ref="B18:P18"/>
    <mergeCell ref="B20:P20"/>
    <mergeCell ref="H1:M1"/>
    <mergeCell ref="B2:C6"/>
    <mergeCell ref="D2:G6"/>
    <mergeCell ref="H3:I3"/>
    <mergeCell ref="J3:M3"/>
    <mergeCell ref="H4:I4"/>
    <mergeCell ref="J4:M4"/>
    <mergeCell ref="H5:I5"/>
    <mergeCell ref="J5:M5"/>
    <mergeCell ref="H6:I6"/>
  </mergeCells>
  <conditionalFormatting sqref="D31">
    <cfRule type="containsText" dxfId="37" priority="1" operator="containsText" text="No coincideix amb el total del grup">
      <formula>NOT(ISERROR(SEARCH("No coincideix amb el total del grup",D31)))</formula>
    </cfRule>
  </conditionalFormatting>
  <conditionalFormatting sqref="E36:G75">
    <cfRule type="cellIs" dxfId="36" priority="3" operator="equal">
      <formula>"No"</formula>
    </cfRule>
  </conditionalFormatting>
  <conditionalFormatting sqref="H36:L75">
    <cfRule type="cellIs" dxfId="35" priority="4" operator="equal">
      <formula>"Sí"</formula>
    </cfRule>
  </conditionalFormatting>
  <conditionalFormatting sqref="J30">
    <cfRule type="containsText" dxfId="34" priority="2" operator="containsText" text="No coincideix amb el total del grup">
      <formula>NOT(ISERROR(SEARCH("No coincideix amb el total del grup",J30)))</formula>
    </cfRule>
  </conditionalFormatting>
  <dataValidations count="3">
    <dataValidation allowBlank="1" showInputMessage="1" showErrorMessage="1" sqref="E36:E75 J6:M6" xr:uid="{63B8AB14-0632-450A-A923-D0CE881B07DA}"/>
    <dataValidation type="list" allowBlank="1" showInputMessage="1" showErrorMessage="1" sqref="F36:K75" xr:uid="{97FD5842-A2D1-482C-AE83-54712FA436E9}">
      <formula1>"Sí, No"</formula1>
    </dataValidation>
    <dataValidation type="date" allowBlank="1" showInputMessage="1" showErrorMessage="1" sqref="J7" xr:uid="{F4C000B0-575F-451D-B92E-211824E06182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AAD0-83A0-42BE-AD32-39D0ACA7ACEC}">
  <dimension ref="A1:XFC97"/>
  <sheetViews>
    <sheetView topLeftCell="A22" workbookViewId="0">
      <selection activeCell="E27" sqref="E27"/>
    </sheetView>
  </sheetViews>
  <sheetFormatPr baseColWidth="10" defaultColWidth="0" defaultRowHeight="15.75" zeroHeight="1"/>
  <cols>
    <col min="1" max="1" width="3.59765625" style="1" customWidth="1"/>
    <col min="2" max="2" width="21.73046875" style="1" customWidth="1"/>
    <col min="3" max="3" width="25.265625" style="1" customWidth="1"/>
    <col min="4" max="8" width="12.59765625" style="1" customWidth="1"/>
    <col min="9" max="9" width="17.265625" style="1" customWidth="1"/>
    <col min="10" max="11" width="15.86328125" style="1" customWidth="1"/>
    <col min="12" max="14" width="12.59765625" style="1" customWidth="1"/>
    <col min="15" max="15" width="3.59765625" style="1" customWidth="1"/>
    <col min="16" max="22" width="9.1328125" style="1" hidden="1"/>
    <col min="23" max="181" width="4.3984375" style="1" hidden="1"/>
    <col min="182" max="16383" width="0" style="1" hidden="1"/>
    <col min="16384" max="16384" width="16.59765625" style="1" hidden="1"/>
  </cols>
  <sheetData>
    <row r="1" spans="2:14" ht="15.75" customHeight="1">
      <c r="B1" s="29"/>
      <c r="C1" s="29"/>
      <c r="D1" s="29"/>
      <c r="E1" s="29"/>
      <c r="F1" s="29"/>
      <c r="G1" s="29"/>
      <c r="H1" s="29"/>
      <c r="I1" s="30" t="s">
        <v>0</v>
      </c>
      <c r="J1" s="30"/>
      <c r="K1" s="30"/>
      <c r="L1" s="31"/>
      <c r="M1" s="30"/>
    </row>
    <row r="2" spans="2:14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2:14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14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14" ht="15.75" customHeight="1" thickBot="1">
      <c r="B5" s="197"/>
      <c r="C5" s="197"/>
      <c r="D5" s="197"/>
      <c r="E5" s="197"/>
      <c r="F5" s="197"/>
      <c r="G5" s="197"/>
      <c r="H5" s="32"/>
      <c r="I5" s="71" t="s">
        <v>3</v>
      </c>
      <c r="J5" s="199" t="str">
        <f>INDEX!G5</f>
        <v>2025-2026</v>
      </c>
      <c r="K5" s="199"/>
      <c r="L5" s="199"/>
      <c r="M5" s="199"/>
    </row>
    <row r="6" spans="2:14" ht="15.75" customHeight="1" thickBot="1">
      <c r="B6" s="197"/>
      <c r="C6" s="197"/>
      <c r="D6" s="197"/>
      <c r="E6" s="197"/>
      <c r="F6" s="197"/>
      <c r="G6" s="197"/>
      <c r="H6" s="32"/>
      <c r="I6" s="72" t="s">
        <v>27</v>
      </c>
      <c r="J6" s="199" t="s">
        <v>23</v>
      </c>
      <c r="K6" s="199"/>
      <c r="L6" s="199"/>
      <c r="M6" s="199"/>
    </row>
    <row r="7" spans="2:14">
      <c r="B7" s="29"/>
      <c r="C7" s="29"/>
      <c r="D7" s="32"/>
      <c r="E7" s="32"/>
      <c r="F7" s="32"/>
      <c r="G7" s="32"/>
      <c r="H7" s="32"/>
      <c r="I7" s="73" t="s">
        <v>29</v>
      </c>
      <c r="J7" s="249"/>
      <c r="K7" s="249"/>
      <c r="L7" s="249"/>
      <c r="M7" s="249"/>
    </row>
    <row r="8" spans="2:14" ht="27" customHeight="1"/>
    <row r="9" spans="2:14" s="37" customFormat="1" ht="21">
      <c r="B9" s="196" t="s">
        <v>30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14"/>
    <row r="11" spans="2:14" ht="15.6" customHeight="1">
      <c r="B11" s="250" t="s">
        <v>31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</row>
    <row r="12" spans="2:14" ht="56.25" customHeight="1">
      <c r="B12" s="245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7"/>
    </row>
    <row r="13" spans="2:14" ht="27" customHeight="1"/>
    <row r="14" spans="2:14">
      <c r="B14" s="250" t="s">
        <v>32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</row>
    <row r="15" spans="2:14" ht="56.25" customHeight="1">
      <c r="B15" s="245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7"/>
    </row>
    <row r="16" spans="2:14" ht="27" customHeight="1"/>
    <row r="17" spans="2:14">
      <c r="B17" s="250" t="s">
        <v>72</v>
      </c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</row>
    <row r="18" spans="2:14" ht="56.25" customHeight="1">
      <c r="B18" s="245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7"/>
    </row>
    <row r="19" spans="2:14"/>
    <row r="20" spans="2:14" s="37" customFormat="1" ht="21">
      <c r="B20" s="196" t="s">
        <v>34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2:14">
      <c r="B21" s="1" t="s">
        <v>35</v>
      </c>
    </row>
    <row r="22" spans="2:14" ht="56.25" customHeight="1">
      <c r="B22" s="245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7"/>
    </row>
    <row r="23" spans="2:14" ht="27" customHeight="1"/>
    <row r="24" spans="2:14" s="37" customFormat="1" ht="21">
      <c r="B24" s="253" t="s">
        <v>73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5"/>
    </row>
    <row r="25" spans="2:14">
      <c r="B25" s="74" t="s">
        <v>74</v>
      </c>
      <c r="G25" s="75"/>
      <c r="H25" s="75"/>
      <c r="I25" s="75"/>
      <c r="J25" s="75"/>
      <c r="K25" s="75"/>
      <c r="L25" s="75"/>
      <c r="M25" s="76"/>
      <c r="N25" s="76"/>
    </row>
    <row r="26" spans="2:14" ht="19.5" customHeight="1">
      <c r="B26" s="256" t="s">
        <v>75</v>
      </c>
      <c r="C26" s="256"/>
      <c r="D26" s="54">
        <f>COUNTIFS($C$36:$C$75,"&lt;&gt;",$D$36:$D$75,"&lt;&gt;Baixa")-COUNTBLANK($C$36:$C$75)</f>
        <v>0</v>
      </c>
      <c r="E26" s="78" t="s">
        <v>40</v>
      </c>
      <c r="G26" s="257" t="s">
        <v>76</v>
      </c>
      <c r="H26" s="258"/>
      <c r="I26" s="258"/>
      <c r="J26" s="258"/>
      <c r="K26" s="258"/>
      <c r="L26" s="258"/>
      <c r="M26" s="258"/>
      <c r="N26" s="259"/>
    </row>
    <row r="27" spans="2:14" ht="19.5" customHeight="1">
      <c r="B27" s="256" t="s">
        <v>43</v>
      </c>
      <c r="C27" s="256"/>
      <c r="D27" s="54">
        <f>COUNTIFS($D$36:$D$75,"Baixa")</f>
        <v>0</v>
      </c>
      <c r="E27" s="79" t="str">
        <f>IFERROR(D27/$D$26,"-")</f>
        <v>-</v>
      </c>
      <c r="G27" s="260"/>
      <c r="H27" s="261"/>
      <c r="I27" s="261"/>
      <c r="J27" s="261"/>
      <c r="K27" s="261"/>
      <c r="L27" s="261"/>
      <c r="M27" s="261"/>
      <c r="N27" s="262"/>
    </row>
    <row r="28" spans="2:14" ht="19.5" customHeight="1">
      <c r="B28" s="256" t="s">
        <v>77</v>
      </c>
      <c r="C28" s="256"/>
      <c r="D28" s="56">
        <v>0</v>
      </c>
      <c r="E28" s="79" t="str">
        <f t="shared" ref="E28:E31" si="0">IFERROR(D28/$D$26,"-")</f>
        <v>-</v>
      </c>
      <c r="G28" s="260"/>
      <c r="H28" s="261"/>
      <c r="I28" s="261"/>
      <c r="J28" s="261"/>
      <c r="K28" s="261"/>
      <c r="L28" s="261"/>
      <c r="M28" s="261"/>
      <c r="N28" s="262"/>
    </row>
    <row r="29" spans="2:14" ht="19.5" customHeight="1">
      <c r="B29" s="256" t="s">
        <v>78</v>
      </c>
      <c r="C29" s="256"/>
      <c r="D29" s="56">
        <v>0</v>
      </c>
      <c r="E29" s="79" t="str">
        <f t="shared" si="0"/>
        <v>-</v>
      </c>
      <c r="G29" s="260"/>
      <c r="H29" s="261"/>
      <c r="I29" s="261"/>
      <c r="J29" s="261"/>
      <c r="K29" s="261"/>
      <c r="L29" s="261"/>
      <c r="M29" s="261"/>
      <c r="N29" s="262"/>
    </row>
    <row r="30" spans="2:14" ht="19.5" customHeight="1">
      <c r="B30" s="256" t="s">
        <v>79</v>
      </c>
      <c r="C30" s="256"/>
      <c r="D30" s="56">
        <v>0</v>
      </c>
      <c r="E30" s="79" t="str">
        <f t="shared" si="0"/>
        <v>-</v>
      </c>
      <c r="G30" s="260"/>
      <c r="H30" s="261"/>
      <c r="I30" s="261"/>
      <c r="J30" s="261"/>
      <c r="K30" s="261"/>
      <c r="L30" s="261"/>
      <c r="M30" s="261"/>
      <c r="N30" s="262"/>
    </row>
    <row r="31" spans="2:14" ht="19.5" customHeight="1" thickBot="1">
      <c r="B31" s="256" t="s">
        <v>80</v>
      </c>
      <c r="C31" s="256"/>
      <c r="D31" s="80">
        <v>0</v>
      </c>
      <c r="E31" s="79" t="str">
        <f t="shared" si="0"/>
        <v>-</v>
      </c>
      <c r="G31" s="263"/>
      <c r="H31" s="264"/>
      <c r="I31" s="264"/>
      <c r="J31" s="264"/>
      <c r="K31" s="264"/>
      <c r="L31" s="264"/>
      <c r="M31" s="264"/>
      <c r="N31" s="265"/>
    </row>
    <row r="32" spans="2:14" ht="27" customHeight="1">
      <c r="B32" s="77"/>
      <c r="C32" s="77"/>
      <c r="D32" s="266"/>
      <c r="E32" s="266"/>
      <c r="G32" s="267"/>
      <c r="H32" s="267"/>
      <c r="I32" s="267"/>
      <c r="J32" s="267"/>
      <c r="K32" s="267"/>
      <c r="L32" s="36"/>
      <c r="M32" s="81"/>
      <c r="N32" s="81"/>
    </row>
    <row r="33" spans="1:14" s="37" customFormat="1" ht="21">
      <c r="B33" s="268" t="s">
        <v>54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70"/>
    </row>
    <row r="34" spans="1:14">
      <c r="E34" s="75"/>
    </row>
    <row r="35" spans="1:14" s="6" customFormat="1" ht="32.25" customHeight="1">
      <c r="B35" s="63" t="s">
        <v>55</v>
      </c>
      <c r="C35" s="63" t="s">
        <v>56</v>
      </c>
      <c r="D35" s="64" t="s">
        <v>57</v>
      </c>
      <c r="E35" s="251" t="s">
        <v>81</v>
      </c>
      <c r="F35" s="251"/>
      <c r="G35" s="251"/>
      <c r="H35" s="251"/>
      <c r="I35" s="251"/>
      <c r="J35" s="251"/>
      <c r="K35" s="251"/>
      <c r="L35" s="251"/>
      <c r="M35" s="251"/>
      <c r="N35" s="252"/>
    </row>
    <row r="36" spans="1:14" ht="33" customHeight="1">
      <c r="A36" s="6">
        <v>1</v>
      </c>
      <c r="B36" s="63" t="str">
        <f>IF('0 AVAL'!B36 = "", "", '0 AVAL'!B36)</f>
        <v/>
      </c>
      <c r="C36" s="63" t="str">
        <f>IF('0 AVAL'!C36 = "", "", '0 AVAL'!C36)</f>
        <v/>
      </c>
      <c r="D36" s="63"/>
      <c r="E36" s="271"/>
      <c r="F36" s="272"/>
      <c r="G36" s="272"/>
      <c r="H36" s="272"/>
      <c r="I36" s="272"/>
      <c r="J36" s="272"/>
      <c r="K36" s="272"/>
      <c r="L36" s="272"/>
      <c r="M36" s="272"/>
      <c r="N36" s="273"/>
    </row>
    <row r="37" spans="1:14" ht="33" customHeight="1">
      <c r="A37" s="6">
        <v>2</v>
      </c>
      <c r="B37" s="63" t="str">
        <f>IF('0 AVAL'!B37 = "", "", '0 AVAL'!B37)</f>
        <v/>
      </c>
      <c r="C37" s="63" t="str">
        <f>IF('0 AVAL'!C37 = "", "", '0 AVAL'!C37)</f>
        <v/>
      </c>
      <c r="D37" s="63"/>
      <c r="E37" s="271"/>
      <c r="F37" s="272"/>
      <c r="G37" s="272"/>
      <c r="H37" s="272"/>
      <c r="I37" s="272"/>
      <c r="J37" s="272"/>
      <c r="K37" s="272"/>
      <c r="L37" s="272"/>
      <c r="M37" s="272"/>
      <c r="N37" s="273"/>
    </row>
    <row r="38" spans="1:14" ht="33" customHeight="1">
      <c r="A38" s="6">
        <v>3</v>
      </c>
      <c r="B38" s="63" t="str">
        <f>IF('0 AVAL'!B38 = "", "", '0 AVAL'!B38)</f>
        <v/>
      </c>
      <c r="C38" s="63" t="str">
        <f>IF('0 AVAL'!C38 = "", "", '0 AVAL'!C38)</f>
        <v/>
      </c>
      <c r="D38" s="63"/>
      <c r="E38" s="271"/>
      <c r="F38" s="272"/>
      <c r="G38" s="272"/>
      <c r="H38" s="272"/>
      <c r="I38" s="272"/>
      <c r="J38" s="272"/>
      <c r="K38" s="272"/>
      <c r="L38" s="272"/>
      <c r="M38" s="272"/>
      <c r="N38" s="273"/>
    </row>
    <row r="39" spans="1:14" ht="33" customHeight="1">
      <c r="A39" s="6">
        <v>4</v>
      </c>
      <c r="B39" s="63" t="str">
        <f>IF('0 AVAL'!B39 = "", "", '0 AVAL'!B39)</f>
        <v/>
      </c>
      <c r="C39" s="63" t="str">
        <f>IF('0 AVAL'!C39 = "", "", '0 AVAL'!C39)</f>
        <v/>
      </c>
      <c r="D39" s="63"/>
      <c r="E39" s="271"/>
      <c r="F39" s="272"/>
      <c r="G39" s="272"/>
      <c r="H39" s="272"/>
      <c r="I39" s="272"/>
      <c r="J39" s="272"/>
      <c r="K39" s="272"/>
      <c r="L39" s="272"/>
      <c r="M39" s="272"/>
      <c r="N39" s="273"/>
    </row>
    <row r="40" spans="1:14" ht="33" customHeight="1">
      <c r="A40" s="6">
        <v>5</v>
      </c>
      <c r="B40" s="63" t="str">
        <f>IF('0 AVAL'!B40 = "", "", '0 AVAL'!B40)</f>
        <v/>
      </c>
      <c r="C40" s="63" t="str">
        <f>IF('0 AVAL'!C40 = "", "", '0 AVAL'!C40)</f>
        <v/>
      </c>
      <c r="D40" s="63"/>
      <c r="E40" s="271"/>
      <c r="F40" s="272"/>
      <c r="G40" s="272"/>
      <c r="H40" s="272"/>
      <c r="I40" s="272"/>
      <c r="J40" s="272"/>
      <c r="K40" s="272"/>
      <c r="L40" s="272"/>
      <c r="M40" s="272"/>
      <c r="N40" s="273"/>
    </row>
    <row r="41" spans="1:14" ht="33" customHeight="1">
      <c r="A41" s="6">
        <v>6</v>
      </c>
      <c r="B41" s="63" t="str">
        <f>IF('0 AVAL'!B41 = "", "", '0 AVAL'!B41)</f>
        <v/>
      </c>
      <c r="C41" s="63" t="str">
        <f>IF('0 AVAL'!C41 = "", "", '0 AVAL'!C41)</f>
        <v/>
      </c>
      <c r="D41" s="63"/>
      <c r="E41" s="271"/>
      <c r="F41" s="272"/>
      <c r="G41" s="272"/>
      <c r="H41" s="272"/>
      <c r="I41" s="272"/>
      <c r="J41" s="272"/>
      <c r="K41" s="272"/>
      <c r="L41" s="272"/>
      <c r="M41" s="272"/>
      <c r="N41" s="273"/>
    </row>
    <row r="42" spans="1:14" ht="33" customHeight="1">
      <c r="A42" s="6">
        <v>7</v>
      </c>
      <c r="B42" s="63" t="str">
        <f>IF('0 AVAL'!B42 = "", "", '0 AVAL'!B42)</f>
        <v/>
      </c>
      <c r="C42" s="63" t="str">
        <f>IF('0 AVAL'!C42 = "", "", '0 AVAL'!C42)</f>
        <v/>
      </c>
      <c r="D42" s="63"/>
      <c r="E42" s="271"/>
      <c r="F42" s="272"/>
      <c r="G42" s="272"/>
      <c r="H42" s="272"/>
      <c r="I42" s="272"/>
      <c r="J42" s="272"/>
      <c r="K42" s="272"/>
      <c r="L42" s="272"/>
      <c r="M42" s="272"/>
      <c r="N42" s="273"/>
    </row>
    <row r="43" spans="1:14" ht="33" customHeight="1">
      <c r="A43" s="6">
        <v>8</v>
      </c>
      <c r="B43" s="63" t="str">
        <f>IF('0 AVAL'!B43 = "", "", '0 AVAL'!B43)</f>
        <v/>
      </c>
      <c r="C43" s="63" t="str">
        <f>IF('0 AVAL'!C43 = "", "", '0 AVAL'!C43)</f>
        <v/>
      </c>
      <c r="D43" s="63"/>
      <c r="E43" s="271"/>
      <c r="F43" s="272"/>
      <c r="G43" s="272"/>
      <c r="H43" s="272"/>
      <c r="I43" s="272"/>
      <c r="J43" s="272"/>
      <c r="K43" s="272"/>
      <c r="L43" s="272"/>
      <c r="M43" s="272"/>
      <c r="N43" s="273"/>
    </row>
    <row r="44" spans="1:14" ht="33" customHeight="1">
      <c r="A44" s="6">
        <v>9</v>
      </c>
      <c r="B44" s="63" t="str">
        <f>IF('0 AVAL'!B44 = "", "", '0 AVAL'!B44)</f>
        <v/>
      </c>
      <c r="C44" s="63" t="str">
        <f>IF('0 AVAL'!C44 = "", "", '0 AVAL'!C44)</f>
        <v/>
      </c>
      <c r="D44" s="63"/>
      <c r="E44" s="271"/>
      <c r="F44" s="272"/>
      <c r="G44" s="272"/>
      <c r="H44" s="272"/>
      <c r="I44" s="272"/>
      <c r="J44" s="272"/>
      <c r="K44" s="272"/>
      <c r="L44" s="272"/>
      <c r="M44" s="272"/>
      <c r="N44" s="273"/>
    </row>
    <row r="45" spans="1:14" ht="33" customHeight="1">
      <c r="A45" s="6">
        <v>10</v>
      </c>
      <c r="B45" s="63" t="str">
        <f>IF('0 AVAL'!B45 = "", "", '0 AVAL'!B45)</f>
        <v/>
      </c>
      <c r="C45" s="63" t="str">
        <f>IF('0 AVAL'!C45 = "", "", '0 AVAL'!C45)</f>
        <v/>
      </c>
      <c r="D45" s="63"/>
      <c r="E45" s="271"/>
      <c r="F45" s="272"/>
      <c r="G45" s="272"/>
      <c r="H45" s="272"/>
      <c r="I45" s="272"/>
      <c r="J45" s="272"/>
      <c r="K45" s="272"/>
      <c r="L45" s="272"/>
      <c r="M45" s="272"/>
      <c r="N45" s="273"/>
    </row>
    <row r="46" spans="1:14" ht="33" customHeight="1">
      <c r="A46" s="6">
        <v>11</v>
      </c>
      <c r="B46" s="63" t="str">
        <f>IF('0 AVAL'!B46 = "", "", '0 AVAL'!B46)</f>
        <v/>
      </c>
      <c r="C46" s="63" t="str">
        <f>IF('0 AVAL'!C46 = "", "", '0 AVAL'!C46)</f>
        <v/>
      </c>
      <c r="D46" s="63"/>
      <c r="E46" s="271"/>
      <c r="F46" s="272"/>
      <c r="G46" s="272"/>
      <c r="H46" s="272"/>
      <c r="I46" s="272"/>
      <c r="J46" s="272"/>
      <c r="K46" s="272"/>
      <c r="L46" s="272"/>
      <c r="M46" s="272"/>
      <c r="N46" s="273"/>
    </row>
    <row r="47" spans="1:14" ht="33" customHeight="1">
      <c r="A47" s="6">
        <v>12</v>
      </c>
      <c r="B47" s="63" t="str">
        <f>IF('0 AVAL'!B47 = "", "", '0 AVAL'!B47)</f>
        <v/>
      </c>
      <c r="C47" s="63" t="str">
        <f>IF('0 AVAL'!C47 = "", "", '0 AVAL'!C47)</f>
        <v/>
      </c>
      <c r="D47" s="63"/>
      <c r="E47" s="271"/>
      <c r="F47" s="272"/>
      <c r="G47" s="272"/>
      <c r="H47" s="272"/>
      <c r="I47" s="272"/>
      <c r="J47" s="272"/>
      <c r="K47" s="272"/>
      <c r="L47" s="272"/>
      <c r="M47" s="272"/>
      <c r="N47" s="273"/>
    </row>
    <row r="48" spans="1:14" ht="33" customHeight="1">
      <c r="A48" s="6">
        <v>13</v>
      </c>
      <c r="B48" s="63" t="str">
        <f>IF('0 AVAL'!B48 = "", "", '0 AVAL'!B48)</f>
        <v/>
      </c>
      <c r="C48" s="63" t="str">
        <f>IF('0 AVAL'!C48 = "", "", '0 AVAL'!C48)</f>
        <v/>
      </c>
      <c r="D48" s="63"/>
      <c r="E48" s="271"/>
      <c r="F48" s="272"/>
      <c r="G48" s="272"/>
      <c r="H48" s="272"/>
      <c r="I48" s="272"/>
      <c r="J48" s="272"/>
      <c r="K48" s="272"/>
      <c r="L48" s="272"/>
      <c r="M48" s="272"/>
      <c r="N48" s="273"/>
    </row>
    <row r="49" spans="1:14" ht="33" customHeight="1">
      <c r="A49" s="6">
        <v>14</v>
      </c>
      <c r="B49" s="63" t="str">
        <f>IF('0 AVAL'!B49 = "", "", '0 AVAL'!B49)</f>
        <v/>
      </c>
      <c r="C49" s="63" t="str">
        <f>IF('0 AVAL'!C49 = "", "", '0 AVAL'!C49)</f>
        <v/>
      </c>
      <c r="D49" s="63"/>
      <c r="E49" s="271"/>
      <c r="F49" s="272"/>
      <c r="G49" s="272"/>
      <c r="H49" s="272"/>
      <c r="I49" s="272"/>
      <c r="J49" s="272"/>
      <c r="K49" s="272"/>
      <c r="L49" s="272"/>
      <c r="M49" s="272"/>
      <c r="N49" s="273"/>
    </row>
    <row r="50" spans="1:14" ht="33" customHeight="1">
      <c r="A50" s="6">
        <v>15</v>
      </c>
      <c r="B50" s="63" t="str">
        <f>IF('0 AVAL'!B50 = "", "", '0 AVAL'!B50)</f>
        <v/>
      </c>
      <c r="C50" s="63" t="str">
        <f>IF('0 AVAL'!C50 = "", "", '0 AVAL'!C50)</f>
        <v/>
      </c>
      <c r="D50" s="63"/>
      <c r="E50" s="271"/>
      <c r="F50" s="272"/>
      <c r="G50" s="272"/>
      <c r="H50" s="272"/>
      <c r="I50" s="272"/>
      <c r="J50" s="272"/>
      <c r="K50" s="272"/>
      <c r="L50" s="272"/>
      <c r="M50" s="272"/>
      <c r="N50" s="273"/>
    </row>
    <row r="51" spans="1:14" ht="33" customHeight="1">
      <c r="A51" s="6">
        <v>16</v>
      </c>
      <c r="B51" s="63" t="str">
        <f>IF('0 AVAL'!B51 = "", "", '0 AVAL'!B51)</f>
        <v/>
      </c>
      <c r="C51" s="63" t="str">
        <f>IF('0 AVAL'!C51 = "", "", '0 AVAL'!C51)</f>
        <v/>
      </c>
      <c r="D51" s="63"/>
      <c r="E51" s="271"/>
      <c r="F51" s="272"/>
      <c r="G51" s="272"/>
      <c r="H51" s="272"/>
      <c r="I51" s="272"/>
      <c r="J51" s="272"/>
      <c r="K51" s="272"/>
      <c r="L51" s="272"/>
      <c r="M51" s="272"/>
      <c r="N51" s="273"/>
    </row>
    <row r="52" spans="1:14" ht="33" customHeight="1">
      <c r="A52" s="6">
        <v>17</v>
      </c>
      <c r="B52" s="63" t="str">
        <f>IF('0 AVAL'!B52 = "", "", '0 AVAL'!B52)</f>
        <v/>
      </c>
      <c r="C52" s="63" t="str">
        <f>IF('0 AVAL'!C52 = "", "", '0 AVAL'!C52)</f>
        <v/>
      </c>
      <c r="D52" s="63"/>
      <c r="E52" s="271"/>
      <c r="F52" s="272"/>
      <c r="G52" s="272"/>
      <c r="H52" s="272"/>
      <c r="I52" s="272"/>
      <c r="J52" s="272"/>
      <c r="K52" s="272"/>
      <c r="L52" s="272"/>
      <c r="M52" s="272"/>
      <c r="N52" s="273"/>
    </row>
    <row r="53" spans="1:14" ht="33" customHeight="1">
      <c r="A53" s="6">
        <v>18</v>
      </c>
      <c r="B53" s="63" t="str">
        <f>IF('0 AVAL'!B53 = "", "", '0 AVAL'!B53)</f>
        <v/>
      </c>
      <c r="C53" s="63" t="str">
        <f>IF('0 AVAL'!C53 = "", "", '0 AVAL'!C53)</f>
        <v/>
      </c>
      <c r="D53" s="63"/>
      <c r="E53" s="271"/>
      <c r="F53" s="272"/>
      <c r="G53" s="272"/>
      <c r="H53" s="272"/>
      <c r="I53" s="272"/>
      <c r="J53" s="272"/>
      <c r="K53" s="272"/>
      <c r="L53" s="272"/>
      <c r="M53" s="272"/>
      <c r="N53" s="273"/>
    </row>
    <row r="54" spans="1:14" ht="33" customHeight="1">
      <c r="A54" s="6">
        <v>19</v>
      </c>
      <c r="B54" s="63" t="str">
        <f>IF('0 AVAL'!B54 = "", "", '0 AVAL'!B54)</f>
        <v/>
      </c>
      <c r="C54" s="63" t="str">
        <f>IF('0 AVAL'!C54 = "", "", '0 AVAL'!C54)</f>
        <v/>
      </c>
      <c r="D54" s="63"/>
      <c r="E54" s="271"/>
      <c r="F54" s="272"/>
      <c r="G54" s="272"/>
      <c r="H54" s="272"/>
      <c r="I54" s="272"/>
      <c r="J54" s="272"/>
      <c r="K54" s="272"/>
      <c r="L54" s="272"/>
      <c r="M54" s="272"/>
      <c r="N54" s="273"/>
    </row>
    <row r="55" spans="1:14" ht="33" customHeight="1">
      <c r="A55" s="6">
        <v>20</v>
      </c>
      <c r="B55" s="63" t="str">
        <f>IF('0 AVAL'!B55 = "", "", '0 AVAL'!B55)</f>
        <v/>
      </c>
      <c r="C55" s="63" t="str">
        <f>IF('0 AVAL'!C55 = "", "", '0 AVAL'!C55)</f>
        <v/>
      </c>
      <c r="D55" s="63"/>
      <c r="E55" s="271"/>
      <c r="F55" s="272"/>
      <c r="G55" s="272"/>
      <c r="H55" s="272"/>
      <c r="I55" s="272"/>
      <c r="J55" s="272"/>
      <c r="K55" s="272"/>
      <c r="L55" s="272"/>
      <c r="M55" s="272"/>
      <c r="N55" s="273"/>
    </row>
    <row r="56" spans="1:14" ht="33" customHeight="1">
      <c r="A56" s="6">
        <v>21</v>
      </c>
      <c r="B56" s="63" t="str">
        <f>IF('0 AVAL'!B56 = "", "", '0 AVAL'!B56)</f>
        <v/>
      </c>
      <c r="C56" s="63" t="str">
        <f>IF('0 AVAL'!C56 = "", "", '0 AVAL'!C56)</f>
        <v/>
      </c>
      <c r="D56" s="63"/>
      <c r="E56" s="271"/>
      <c r="F56" s="272"/>
      <c r="G56" s="272"/>
      <c r="H56" s="272"/>
      <c r="I56" s="272"/>
      <c r="J56" s="272"/>
      <c r="K56" s="272"/>
      <c r="L56" s="272"/>
      <c r="M56" s="272"/>
      <c r="N56" s="273"/>
    </row>
    <row r="57" spans="1:14" ht="33" customHeight="1">
      <c r="A57" s="6">
        <v>22</v>
      </c>
      <c r="B57" s="63" t="str">
        <f>IF('0 AVAL'!B57 = "", "", '0 AVAL'!B57)</f>
        <v/>
      </c>
      <c r="C57" s="63" t="str">
        <f>IF('0 AVAL'!C57 = "", "", '0 AVAL'!C57)</f>
        <v/>
      </c>
      <c r="D57" s="63"/>
      <c r="E57" s="271"/>
      <c r="F57" s="272"/>
      <c r="G57" s="272"/>
      <c r="H57" s="272"/>
      <c r="I57" s="272"/>
      <c r="J57" s="272"/>
      <c r="K57" s="272"/>
      <c r="L57" s="272"/>
      <c r="M57" s="272"/>
      <c r="N57" s="273"/>
    </row>
    <row r="58" spans="1:14" ht="33" customHeight="1">
      <c r="A58" s="6">
        <v>23</v>
      </c>
      <c r="B58" s="63" t="str">
        <f>IF('0 AVAL'!B58 = "", "", '0 AVAL'!B58)</f>
        <v/>
      </c>
      <c r="C58" s="63" t="str">
        <f>IF('0 AVAL'!C58 = "", "", '0 AVAL'!C58)</f>
        <v/>
      </c>
      <c r="D58" s="63"/>
      <c r="E58" s="271"/>
      <c r="F58" s="272"/>
      <c r="G58" s="272"/>
      <c r="H58" s="272"/>
      <c r="I58" s="272"/>
      <c r="J58" s="272"/>
      <c r="K58" s="272"/>
      <c r="L58" s="272"/>
      <c r="M58" s="272"/>
      <c r="N58" s="273"/>
    </row>
    <row r="59" spans="1:14" ht="33" customHeight="1">
      <c r="A59" s="6">
        <v>24</v>
      </c>
      <c r="B59" s="63" t="str">
        <f>IF('0 AVAL'!B59 = "", "", '0 AVAL'!B59)</f>
        <v/>
      </c>
      <c r="C59" s="63" t="str">
        <f>IF('0 AVAL'!C59 = "", "", '0 AVAL'!C59)</f>
        <v/>
      </c>
      <c r="D59" s="63"/>
      <c r="E59" s="271"/>
      <c r="F59" s="272"/>
      <c r="G59" s="272"/>
      <c r="H59" s="272"/>
      <c r="I59" s="272"/>
      <c r="J59" s="272"/>
      <c r="K59" s="272"/>
      <c r="L59" s="272"/>
      <c r="M59" s="272"/>
      <c r="N59" s="273"/>
    </row>
    <row r="60" spans="1:14" ht="33" customHeight="1">
      <c r="A60" s="6">
        <v>25</v>
      </c>
      <c r="B60" s="63" t="str">
        <f>IF('0 AVAL'!B60 = "", "", '0 AVAL'!B60)</f>
        <v/>
      </c>
      <c r="C60" s="63" t="str">
        <f>IF('0 AVAL'!C60 = "", "", '0 AVAL'!C60)</f>
        <v/>
      </c>
      <c r="D60" s="63"/>
      <c r="E60" s="271"/>
      <c r="F60" s="272"/>
      <c r="G60" s="272"/>
      <c r="H60" s="272"/>
      <c r="I60" s="272"/>
      <c r="J60" s="272"/>
      <c r="K60" s="272"/>
      <c r="L60" s="272"/>
      <c r="M60" s="272"/>
      <c r="N60" s="273"/>
    </row>
    <row r="61" spans="1:14" ht="33" customHeight="1">
      <c r="A61" s="6">
        <v>26</v>
      </c>
      <c r="B61" s="63" t="str">
        <f>IF('0 AVAL'!B61 = "", "", '0 AVAL'!B61)</f>
        <v/>
      </c>
      <c r="C61" s="63" t="str">
        <f>IF('0 AVAL'!C61 = "", "", '0 AVAL'!C61)</f>
        <v/>
      </c>
      <c r="D61" s="63"/>
      <c r="E61" s="271"/>
      <c r="F61" s="272"/>
      <c r="G61" s="272"/>
      <c r="H61" s="272"/>
      <c r="I61" s="272"/>
      <c r="J61" s="272"/>
      <c r="K61" s="272"/>
      <c r="L61" s="272"/>
      <c r="M61" s="272"/>
      <c r="N61" s="273"/>
    </row>
    <row r="62" spans="1:14" ht="33" customHeight="1">
      <c r="A62" s="6">
        <v>27</v>
      </c>
      <c r="B62" s="63" t="str">
        <f>IF('0 AVAL'!B62 = "", "", '0 AVAL'!B62)</f>
        <v/>
      </c>
      <c r="C62" s="63" t="str">
        <f>IF('0 AVAL'!C62 = "", "", '0 AVAL'!C62)</f>
        <v/>
      </c>
      <c r="D62" s="63"/>
      <c r="E62" s="271"/>
      <c r="F62" s="272"/>
      <c r="G62" s="272"/>
      <c r="H62" s="272"/>
      <c r="I62" s="272"/>
      <c r="J62" s="272"/>
      <c r="K62" s="272"/>
      <c r="L62" s="272"/>
      <c r="M62" s="272"/>
      <c r="N62" s="273"/>
    </row>
    <row r="63" spans="1:14" ht="33" customHeight="1">
      <c r="A63" s="6">
        <v>28</v>
      </c>
      <c r="B63" s="63" t="str">
        <f>IF('0 AVAL'!B63 = "", "", '0 AVAL'!B63)</f>
        <v/>
      </c>
      <c r="C63" s="63" t="str">
        <f>IF('0 AVAL'!C63 = "", "", '0 AVAL'!C63)</f>
        <v/>
      </c>
      <c r="D63" s="63"/>
      <c r="E63" s="271"/>
      <c r="F63" s="272"/>
      <c r="G63" s="272"/>
      <c r="H63" s="272"/>
      <c r="I63" s="272"/>
      <c r="J63" s="272"/>
      <c r="K63" s="272"/>
      <c r="L63" s="272"/>
      <c r="M63" s="272"/>
      <c r="N63" s="273"/>
    </row>
    <row r="64" spans="1:14" ht="33" customHeight="1">
      <c r="A64" s="6">
        <v>29</v>
      </c>
      <c r="B64" s="63" t="str">
        <f>IF('0 AVAL'!B64 = "", "", '0 AVAL'!B64)</f>
        <v/>
      </c>
      <c r="C64" s="63" t="str">
        <f>IF('0 AVAL'!C64 = "", "", '0 AVAL'!C64)</f>
        <v/>
      </c>
      <c r="D64" s="63"/>
      <c r="E64" s="271"/>
      <c r="F64" s="272"/>
      <c r="G64" s="272"/>
      <c r="H64" s="272"/>
      <c r="I64" s="272"/>
      <c r="J64" s="272"/>
      <c r="K64" s="272"/>
      <c r="L64" s="272"/>
      <c r="M64" s="272"/>
      <c r="N64" s="273"/>
    </row>
    <row r="65" spans="1:14" ht="33" customHeight="1">
      <c r="A65" s="6">
        <v>30</v>
      </c>
      <c r="B65" s="63" t="str">
        <f>IF('0 AVAL'!B65 = "", "", '0 AVAL'!B65)</f>
        <v/>
      </c>
      <c r="C65" s="63" t="str">
        <f>IF('0 AVAL'!C65 = "", "", '0 AVAL'!C65)</f>
        <v/>
      </c>
      <c r="D65" s="63"/>
      <c r="E65" s="271"/>
      <c r="F65" s="272"/>
      <c r="G65" s="272"/>
      <c r="H65" s="272"/>
      <c r="I65" s="272"/>
      <c r="J65" s="272"/>
      <c r="K65" s="272"/>
      <c r="L65" s="272"/>
      <c r="M65" s="272"/>
      <c r="N65" s="273"/>
    </row>
    <row r="66" spans="1:14" ht="33" customHeight="1">
      <c r="A66" s="6">
        <v>31</v>
      </c>
      <c r="B66" s="63" t="str">
        <f>IF('0 AVAL'!B66 = "", "", '0 AVAL'!B66)</f>
        <v/>
      </c>
      <c r="C66" s="63" t="str">
        <f>IF('0 AVAL'!C66 = "", "", '0 AVAL'!C66)</f>
        <v/>
      </c>
      <c r="D66" s="63"/>
      <c r="E66" s="82"/>
      <c r="F66" s="83"/>
      <c r="G66" s="83"/>
      <c r="H66" s="83"/>
      <c r="I66" s="83"/>
      <c r="J66" s="83"/>
      <c r="K66" s="83"/>
      <c r="L66" s="83"/>
      <c r="M66" s="83"/>
      <c r="N66" s="84"/>
    </row>
    <row r="67" spans="1:14" ht="33" customHeight="1">
      <c r="A67" s="6">
        <v>32</v>
      </c>
      <c r="B67" s="63" t="str">
        <f>IF('0 AVAL'!B67 = "", "", '0 AVAL'!B67)</f>
        <v/>
      </c>
      <c r="C67" s="63" t="str">
        <f>IF('0 AVAL'!C67 = "", "", '0 AVAL'!C67)</f>
        <v/>
      </c>
      <c r="D67" s="63"/>
      <c r="E67" s="82"/>
      <c r="F67" s="83"/>
      <c r="G67" s="83"/>
      <c r="H67" s="83"/>
      <c r="I67" s="83"/>
      <c r="J67" s="83"/>
      <c r="K67" s="83"/>
      <c r="L67" s="83"/>
      <c r="M67" s="83"/>
      <c r="N67" s="84"/>
    </row>
    <row r="68" spans="1:14" ht="33" customHeight="1">
      <c r="A68" s="6">
        <v>33</v>
      </c>
      <c r="B68" s="63" t="str">
        <f>IF('0 AVAL'!B68 = "", "", '0 AVAL'!B68)</f>
        <v/>
      </c>
      <c r="C68" s="63" t="str">
        <f>IF('0 AVAL'!C68 = "", "", '0 AVAL'!C68)</f>
        <v/>
      </c>
      <c r="D68" s="63"/>
      <c r="E68" s="82"/>
      <c r="F68" s="83"/>
      <c r="G68" s="83"/>
      <c r="H68" s="83"/>
      <c r="I68" s="83"/>
      <c r="J68" s="83"/>
      <c r="K68" s="83"/>
      <c r="L68" s="83"/>
      <c r="M68" s="83"/>
      <c r="N68" s="84"/>
    </row>
    <row r="69" spans="1:14" ht="33" customHeight="1">
      <c r="A69" s="6">
        <v>34</v>
      </c>
      <c r="B69" s="63" t="str">
        <f>IF('0 AVAL'!B69 = "", "", '0 AVAL'!B69)</f>
        <v/>
      </c>
      <c r="C69" s="63" t="str">
        <f>IF('0 AVAL'!C69 = "", "", '0 AVAL'!C69)</f>
        <v/>
      </c>
      <c r="D69" s="63"/>
      <c r="E69" s="82"/>
      <c r="F69" s="83"/>
      <c r="G69" s="83"/>
      <c r="H69" s="83"/>
      <c r="I69" s="83"/>
      <c r="J69" s="83"/>
      <c r="K69" s="83"/>
      <c r="L69" s="83"/>
      <c r="M69" s="83"/>
      <c r="N69" s="84"/>
    </row>
    <row r="70" spans="1:14" ht="33" customHeight="1">
      <c r="A70" s="6">
        <v>35</v>
      </c>
      <c r="B70" s="63" t="str">
        <f>IF('0 AVAL'!B70 = "", "", '0 AVAL'!B70)</f>
        <v/>
      </c>
      <c r="C70" s="63" t="str">
        <f>IF('0 AVAL'!C70 = "", "", '0 AVAL'!C70)</f>
        <v/>
      </c>
      <c r="D70" s="63"/>
      <c r="E70" s="82"/>
      <c r="F70" s="83"/>
      <c r="G70" s="83"/>
      <c r="H70" s="83"/>
      <c r="I70" s="83"/>
      <c r="J70" s="83"/>
      <c r="K70" s="83"/>
      <c r="L70" s="83"/>
      <c r="M70" s="83"/>
      <c r="N70" s="84"/>
    </row>
    <row r="71" spans="1:14" ht="33" customHeight="1">
      <c r="A71" s="6">
        <v>36</v>
      </c>
      <c r="B71" s="63" t="str">
        <f>IF('0 AVAL'!B71 = "", "", '0 AVAL'!B71)</f>
        <v/>
      </c>
      <c r="C71" s="63" t="str">
        <f>IF('0 AVAL'!C71 = "", "", '0 AVAL'!C71)</f>
        <v/>
      </c>
      <c r="D71" s="63"/>
      <c r="E71" s="271"/>
      <c r="F71" s="272"/>
      <c r="G71" s="272"/>
      <c r="H71" s="272"/>
      <c r="I71" s="272"/>
      <c r="J71" s="272"/>
      <c r="K71" s="272"/>
      <c r="L71" s="272"/>
      <c r="M71" s="272"/>
      <c r="N71" s="273"/>
    </row>
    <row r="72" spans="1:14" ht="33" customHeight="1">
      <c r="A72" s="6">
        <v>37</v>
      </c>
      <c r="B72" s="63" t="str">
        <f>IF('0 AVAL'!B72 = "", "", '0 AVAL'!B72)</f>
        <v/>
      </c>
      <c r="C72" s="63" t="str">
        <f>IF('0 AVAL'!C72 = "", "", '0 AVAL'!C72)</f>
        <v/>
      </c>
      <c r="D72" s="63"/>
      <c r="E72" s="271"/>
      <c r="F72" s="272"/>
      <c r="G72" s="272"/>
      <c r="H72" s="272"/>
      <c r="I72" s="272"/>
      <c r="J72" s="272"/>
      <c r="K72" s="272"/>
      <c r="L72" s="272"/>
      <c r="M72" s="272"/>
      <c r="N72" s="273"/>
    </row>
    <row r="73" spans="1:14" ht="33" customHeight="1">
      <c r="A73" s="6">
        <v>38</v>
      </c>
      <c r="B73" s="63" t="str">
        <f>IF('0 AVAL'!B73 = "", "", '0 AVAL'!B73)</f>
        <v/>
      </c>
      <c r="C73" s="63" t="str">
        <f>IF('0 AVAL'!C73 = "", "", '0 AVAL'!C73)</f>
        <v/>
      </c>
      <c r="D73" s="63"/>
      <c r="E73" s="271"/>
      <c r="F73" s="272"/>
      <c r="G73" s="272"/>
      <c r="H73" s="272"/>
      <c r="I73" s="272"/>
      <c r="J73" s="272"/>
      <c r="K73" s="272"/>
      <c r="L73" s="272"/>
      <c r="M73" s="272"/>
      <c r="N73" s="273"/>
    </row>
    <row r="74" spans="1:14" ht="33" customHeight="1">
      <c r="A74" s="6">
        <v>39</v>
      </c>
      <c r="B74" s="63" t="str">
        <f>IF('0 AVAL'!B74 = "", "", '0 AVAL'!B74)</f>
        <v/>
      </c>
      <c r="C74" s="63" t="str">
        <f>IF('0 AVAL'!C74 = "", "", '0 AVAL'!C74)</f>
        <v/>
      </c>
      <c r="D74" s="63"/>
      <c r="E74" s="271"/>
      <c r="F74" s="272"/>
      <c r="G74" s="272"/>
      <c r="H74" s="272"/>
      <c r="I74" s="272"/>
      <c r="J74" s="272"/>
      <c r="K74" s="272"/>
      <c r="L74" s="272"/>
      <c r="M74" s="272"/>
      <c r="N74" s="273"/>
    </row>
    <row r="75" spans="1:14" ht="33" customHeight="1">
      <c r="A75" s="6">
        <v>40</v>
      </c>
      <c r="B75" s="63" t="str">
        <f>IF('0 AVAL'!B75 = "", "", '0 AVAL'!B75)</f>
        <v/>
      </c>
      <c r="C75" s="63" t="str">
        <f>IF('0 AVAL'!C75 = "", "", '0 AVAL'!C75)</f>
        <v/>
      </c>
      <c r="D75" s="63"/>
      <c r="E75" s="271"/>
      <c r="F75" s="272"/>
      <c r="G75" s="272"/>
      <c r="H75" s="272"/>
      <c r="I75" s="272"/>
      <c r="J75" s="272"/>
      <c r="K75" s="272"/>
      <c r="L75" s="272"/>
      <c r="M75" s="272"/>
      <c r="N75" s="273"/>
    </row>
    <row r="76" spans="1:14" ht="36" customHeight="1" thickBot="1"/>
    <row r="77" spans="1:14" s="37" customFormat="1" ht="21.4" thickBot="1">
      <c r="B77" s="274" t="s">
        <v>82</v>
      </c>
      <c r="C77" s="275"/>
      <c r="D77" s="275"/>
      <c r="E77" s="275"/>
      <c r="F77" s="275"/>
      <c r="G77" s="275"/>
      <c r="H77" s="275"/>
      <c r="I77" s="275"/>
      <c r="J77" s="276"/>
      <c r="K77" s="275"/>
      <c r="L77" s="275"/>
      <c r="M77" s="275"/>
      <c r="N77" s="277"/>
    </row>
    <row r="78" spans="1:14">
      <c r="B78" s="2"/>
      <c r="C78" s="2"/>
      <c r="D78" s="2"/>
      <c r="E78" s="2"/>
      <c r="F78" s="2"/>
      <c r="G78" s="2"/>
      <c r="H78" s="2"/>
      <c r="I78" s="2"/>
      <c r="J78" s="85" t="s">
        <v>83</v>
      </c>
      <c r="K78" s="85" t="s">
        <v>84</v>
      </c>
      <c r="L78" s="85"/>
      <c r="M78" s="85"/>
      <c r="N78" s="85"/>
    </row>
    <row r="79" spans="1:14" ht="15.6" customHeight="1">
      <c r="A79" s="86">
        <v>1</v>
      </c>
      <c r="B79" s="278" t="s">
        <v>16</v>
      </c>
      <c r="C79" s="278"/>
      <c r="D79" s="278"/>
      <c r="E79" s="278"/>
      <c r="F79" s="278"/>
      <c r="G79" s="278"/>
      <c r="H79" s="278"/>
      <c r="I79" s="278"/>
      <c r="J79" s="87"/>
      <c r="K79" s="279"/>
      <c r="L79" s="279"/>
      <c r="M79" s="279"/>
      <c r="N79" s="279"/>
    </row>
    <row r="80" spans="1:14" ht="15.6" customHeight="1">
      <c r="A80" s="86">
        <v>2</v>
      </c>
      <c r="B80" s="280" t="s">
        <v>16</v>
      </c>
      <c r="C80" s="280"/>
      <c r="D80" s="280"/>
      <c r="E80" s="280"/>
      <c r="F80" s="280"/>
      <c r="G80" s="280"/>
      <c r="H80" s="280"/>
      <c r="I80" s="280"/>
      <c r="J80" s="87"/>
      <c r="K80" s="279"/>
      <c r="L80" s="279"/>
      <c r="M80" s="279"/>
      <c r="N80" s="279"/>
    </row>
    <row r="81" spans="1:14">
      <c r="A81" s="86">
        <v>3</v>
      </c>
      <c r="B81" s="280" t="s">
        <v>16</v>
      </c>
      <c r="C81" s="280"/>
      <c r="D81" s="280"/>
      <c r="E81" s="280"/>
      <c r="F81" s="280"/>
      <c r="G81" s="280"/>
      <c r="H81" s="280"/>
      <c r="I81" s="280"/>
      <c r="J81" s="87"/>
      <c r="K81" s="279"/>
      <c r="L81" s="279"/>
      <c r="M81" s="279"/>
      <c r="N81" s="279"/>
    </row>
    <row r="82" spans="1:14">
      <c r="A82" s="86">
        <v>4</v>
      </c>
      <c r="B82" s="280" t="s">
        <v>16</v>
      </c>
      <c r="C82" s="280"/>
      <c r="D82" s="280"/>
      <c r="E82" s="280"/>
      <c r="F82" s="280"/>
      <c r="G82" s="280"/>
      <c r="H82" s="280"/>
      <c r="I82" s="280"/>
      <c r="J82" s="87"/>
      <c r="K82" s="279"/>
      <c r="L82" s="279"/>
      <c r="M82" s="279"/>
      <c r="N82" s="279"/>
    </row>
    <row r="83" spans="1:14">
      <c r="A83" s="86">
        <v>5</v>
      </c>
      <c r="B83" s="280" t="s">
        <v>16</v>
      </c>
      <c r="C83" s="280"/>
      <c r="D83" s="280"/>
      <c r="E83" s="280"/>
      <c r="F83" s="280"/>
      <c r="G83" s="280"/>
      <c r="H83" s="280"/>
      <c r="I83" s="280"/>
      <c r="J83" s="87"/>
      <c r="K83" s="279"/>
      <c r="L83" s="279"/>
      <c r="M83" s="279"/>
      <c r="N83" s="279"/>
    </row>
    <row r="84" spans="1:14">
      <c r="A84" s="86">
        <v>6</v>
      </c>
      <c r="B84" s="280" t="s">
        <v>16</v>
      </c>
      <c r="C84" s="280"/>
      <c r="D84" s="280"/>
      <c r="E84" s="280"/>
      <c r="F84" s="280"/>
      <c r="G84" s="280"/>
      <c r="H84" s="280"/>
      <c r="I84" s="280"/>
      <c r="J84" s="87"/>
      <c r="K84" s="279"/>
      <c r="L84" s="279"/>
      <c r="M84" s="279"/>
      <c r="N84" s="279"/>
    </row>
    <row r="85" spans="1:14" ht="16.149999999999999" thickBot="1">
      <c r="A85" s="86">
        <v>7</v>
      </c>
      <c r="B85" s="285" t="s">
        <v>16</v>
      </c>
      <c r="C85" s="285"/>
      <c r="D85" s="285"/>
      <c r="E85" s="285"/>
      <c r="F85" s="285"/>
      <c r="G85" s="285"/>
      <c r="H85" s="285"/>
      <c r="I85" s="285"/>
      <c r="J85" s="88"/>
      <c r="K85" s="286"/>
      <c r="L85" s="286"/>
      <c r="M85" s="286"/>
      <c r="N85" s="286"/>
    </row>
    <row r="86" spans="1:14" ht="36" customHeight="1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s="37" customFormat="1" ht="21.4" thickBot="1">
      <c r="B87" s="274" t="s">
        <v>85</v>
      </c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7"/>
    </row>
    <row r="88" spans="1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0.75" customHeight="1">
      <c r="A89" s="86">
        <v>1</v>
      </c>
      <c r="B89" s="281" t="str">
        <f>IF(ACORDS!E17 = "", "", ACORDS!E17)</f>
        <v/>
      </c>
      <c r="C89" s="281"/>
      <c r="D89" s="281"/>
      <c r="E89" s="281"/>
      <c r="F89" s="281"/>
      <c r="G89" s="281"/>
      <c r="H89" s="281"/>
      <c r="I89" s="281"/>
      <c r="J89" s="287" t="s">
        <v>70</v>
      </c>
      <c r="K89" s="288"/>
      <c r="L89" s="288"/>
      <c r="M89" s="288"/>
      <c r="N89" s="289"/>
    </row>
    <row r="90" spans="1:14" ht="30.75" customHeight="1">
      <c r="A90" s="86">
        <v>2</v>
      </c>
      <c r="B90" s="281" t="str">
        <f>IF(ACORDS!E18 = "", "", ACORDS!E18)</f>
        <v/>
      </c>
      <c r="C90" s="281"/>
      <c r="D90" s="281"/>
      <c r="E90" s="281"/>
      <c r="F90" s="281"/>
      <c r="G90" s="281"/>
      <c r="H90" s="281"/>
      <c r="I90" s="281"/>
      <c r="J90" s="290"/>
      <c r="K90" s="291"/>
      <c r="L90" s="291"/>
      <c r="M90" s="291"/>
      <c r="N90" s="292"/>
    </row>
    <row r="91" spans="1:14" ht="30.75" customHeight="1">
      <c r="A91" s="86">
        <v>3</v>
      </c>
      <c r="B91" s="281" t="str">
        <f>IF(ACORDS!E19 = "", "", ACORDS!E19)</f>
        <v/>
      </c>
      <c r="C91" s="281"/>
      <c r="D91" s="281"/>
      <c r="E91" s="281"/>
      <c r="F91" s="281"/>
      <c r="G91" s="281"/>
      <c r="H91" s="281"/>
      <c r="I91" s="281"/>
      <c r="J91" s="290"/>
      <c r="K91" s="291"/>
      <c r="L91" s="291"/>
      <c r="M91" s="291"/>
      <c r="N91" s="292"/>
    </row>
    <row r="92" spans="1:14" ht="30.75" customHeight="1">
      <c r="A92" s="86">
        <v>4</v>
      </c>
      <c r="B92" s="281" t="str">
        <f>IF(ACORDS!E20 = "", "", ACORDS!E20)</f>
        <v/>
      </c>
      <c r="C92" s="281"/>
      <c r="D92" s="281"/>
      <c r="E92" s="281"/>
      <c r="F92" s="281"/>
      <c r="G92" s="281"/>
      <c r="H92" s="281"/>
      <c r="I92" s="281"/>
      <c r="J92" s="290"/>
      <c r="K92" s="291"/>
      <c r="L92" s="291"/>
      <c r="M92" s="291"/>
      <c r="N92" s="292"/>
    </row>
    <row r="93" spans="1:14" ht="30.75" customHeight="1">
      <c r="A93" s="86">
        <v>5</v>
      </c>
      <c r="B93" s="281" t="str">
        <f>IF(ACORDS!E21 = "", "", ACORDS!E21)</f>
        <v/>
      </c>
      <c r="C93" s="281"/>
      <c r="D93" s="281"/>
      <c r="E93" s="281"/>
      <c r="F93" s="281"/>
      <c r="G93" s="281"/>
      <c r="H93" s="281"/>
      <c r="I93" s="281"/>
      <c r="J93" s="290"/>
      <c r="K93" s="291"/>
      <c r="L93" s="291"/>
      <c r="M93" s="291"/>
      <c r="N93" s="292"/>
    </row>
    <row r="94" spans="1:14" ht="30.75" customHeight="1">
      <c r="A94" s="86">
        <v>6</v>
      </c>
      <c r="B94" s="281" t="str">
        <f>IF(ACORDS!E22 = "", "", ACORDS!E22)</f>
        <v/>
      </c>
      <c r="C94" s="281"/>
      <c r="D94" s="281"/>
      <c r="E94" s="281"/>
      <c r="F94" s="281"/>
      <c r="G94" s="281"/>
      <c r="H94" s="281"/>
      <c r="I94" s="281"/>
      <c r="J94" s="290"/>
      <c r="K94" s="291"/>
      <c r="L94" s="291"/>
      <c r="M94" s="291"/>
      <c r="N94" s="292"/>
    </row>
    <row r="95" spans="1:14" ht="30.75" customHeight="1" thickBot="1">
      <c r="A95" s="86">
        <v>7</v>
      </c>
      <c r="B95" s="281" t="str">
        <f>IF(ACORDS!E23 = "", "", ACORDS!E23)</f>
        <v/>
      </c>
      <c r="C95" s="281"/>
      <c r="D95" s="281"/>
      <c r="E95" s="281"/>
      <c r="F95" s="281"/>
      <c r="G95" s="281"/>
      <c r="H95" s="281"/>
      <c r="I95" s="281"/>
      <c r="J95" s="293"/>
      <c r="K95" s="294"/>
      <c r="L95" s="294"/>
      <c r="M95" s="294"/>
      <c r="N95" s="295"/>
    </row>
    <row r="96" spans="1:14">
      <c r="B96" s="282" t="s">
        <v>71</v>
      </c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</row>
    <row r="97" spans="2:14">
      <c r="B97" s="284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</row>
  </sheetData>
  <mergeCells count="90">
    <mergeCell ref="B95:I95"/>
    <mergeCell ref="B96:N97"/>
    <mergeCell ref="B85:I85"/>
    <mergeCell ref="K85:N85"/>
    <mergeCell ref="B87:N87"/>
    <mergeCell ref="B89:I89"/>
    <mergeCell ref="J89:N95"/>
    <mergeCell ref="B90:I90"/>
    <mergeCell ref="B91:I91"/>
    <mergeCell ref="B92:I92"/>
    <mergeCell ref="B93:I93"/>
    <mergeCell ref="B94:I94"/>
    <mergeCell ref="B82:I82"/>
    <mergeCell ref="K82:N82"/>
    <mergeCell ref="B83:I83"/>
    <mergeCell ref="K83:N83"/>
    <mergeCell ref="B84:I84"/>
    <mergeCell ref="K84:N84"/>
    <mergeCell ref="B79:I79"/>
    <mergeCell ref="K79:N79"/>
    <mergeCell ref="B80:I80"/>
    <mergeCell ref="K80:N80"/>
    <mergeCell ref="B81:I81"/>
    <mergeCell ref="K81:N81"/>
    <mergeCell ref="B77:N77"/>
    <mergeCell ref="E60:N60"/>
    <mergeCell ref="E61:N61"/>
    <mergeCell ref="E62:N62"/>
    <mergeCell ref="E63:N63"/>
    <mergeCell ref="E64:N64"/>
    <mergeCell ref="E65:N65"/>
    <mergeCell ref="E71:N71"/>
    <mergeCell ref="E72:N72"/>
    <mergeCell ref="E73:N73"/>
    <mergeCell ref="E74:N74"/>
    <mergeCell ref="E75:N75"/>
    <mergeCell ref="E59:N59"/>
    <mergeCell ref="E48:N48"/>
    <mergeCell ref="E49:N49"/>
    <mergeCell ref="E50:N50"/>
    <mergeCell ref="E51:N51"/>
    <mergeCell ref="E52:N52"/>
    <mergeCell ref="E53:N53"/>
    <mergeCell ref="E54:N54"/>
    <mergeCell ref="E55:N55"/>
    <mergeCell ref="E56:N56"/>
    <mergeCell ref="E57:N57"/>
    <mergeCell ref="E58:N58"/>
    <mergeCell ref="E47:N47"/>
    <mergeCell ref="E36:N36"/>
    <mergeCell ref="E37:N37"/>
    <mergeCell ref="E38:N38"/>
    <mergeCell ref="E39:N39"/>
    <mergeCell ref="E40:N40"/>
    <mergeCell ref="E41:N41"/>
    <mergeCell ref="E42:N42"/>
    <mergeCell ref="E43:N43"/>
    <mergeCell ref="E44:N44"/>
    <mergeCell ref="E45:N45"/>
    <mergeCell ref="E46:N46"/>
    <mergeCell ref="E35:N35"/>
    <mergeCell ref="B17:N17"/>
    <mergeCell ref="B18:N18"/>
    <mergeCell ref="B20:N20"/>
    <mergeCell ref="B22:N22"/>
    <mergeCell ref="B24:N24"/>
    <mergeCell ref="B26:C26"/>
    <mergeCell ref="G26:N31"/>
    <mergeCell ref="B27:C27"/>
    <mergeCell ref="B28:C28"/>
    <mergeCell ref="B29:C29"/>
    <mergeCell ref="B30:C30"/>
    <mergeCell ref="B31:C31"/>
    <mergeCell ref="D32:E32"/>
    <mergeCell ref="G32:K32"/>
    <mergeCell ref="B33:N33"/>
    <mergeCell ref="B15:N15"/>
    <mergeCell ref="B2:C6"/>
    <mergeCell ref="D2:F6"/>
    <mergeCell ref="G2:G6"/>
    <mergeCell ref="J2:N2"/>
    <mergeCell ref="J3:M3"/>
    <mergeCell ref="J4:M4"/>
    <mergeCell ref="J5:M5"/>
    <mergeCell ref="J6:M6"/>
    <mergeCell ref="J7:M7"/>
    <mergeCell ref="B9:N9"/>
    <mergeCell ref="B11:N11"/>
    <mergeCell ref="B12:N12"/>
    <mergeCell ref="B14:N14"/>
  </mergeCells>
  <conditionalFormatting sqref="D32">
    <cfRule type="containsText" dxfId="33" priority="1" operator="containsText" text="Revisar núm.">
      <formula>NOT(ISERROR(SEARCH("Revisar núm.",D32)))</formula>
    </cfRule>
  </conditionalFormatting>
  <conditionalFormatting sqref="J79:J85">
    <cfRule type="containsText" dxfId="32" priority="2" operator="containsText" text="No">
      <formula>NOT(ISERROR(SEARCH("No",J79)))</formula>
    </cfRule>
    <cfRule type="containsText" dxfId="31" priority="3" operator="containsText" text="Procés">
      <formula>NOT(ISERROR(SEARCH("Procés",J79)))</formula>
    </cfRule>
    <cfRule type="containsText" dxfId="30" priority="4" operator="containsText" text="Fet">
      <formula>NOT(ISERROR(SEARCH("Fet",J79)))</formula>
    </cfRule>
  </conditionalFormatting>
  <dataValidations count="2">
    <dataValidation allowBlank="1" showInputMessage="1" showErrorMessage="1" sqref="J6:M6" xr:uid="{8A18204E-6EDD-448D-BB2F-4A7CC08EAC33}"/>
    <dataValidation type="date" allowBlank="1" showInputMessage="1" showErrorMessage="1" sqref="J7" xr:uid="{C5480A50-9F09-4998-9185-09D9F434BCF9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61C4-B3B5-4190-B4A2-810FB678EDD5}">
  <dimension ref="A1:XFC100"/>
  <sheetViews>
    <sheetView topLeftCell="G22" workbookViewId="0">
      <selection activeCell="M30" sqref="M30"/>
    </sheetView>
  </sheetViews>
  <sheetFormatPr baseColWidth="10" defaultColWidth="0" defaultRowHeight="15.75" zeroHeight="1"/>
  <cols>
    <col min="1" max="1" width="3.59765625" style="41" customWidth="1"/>
    <col min="2" max="2" width="21.73046875" style="41" customWidth="1"/>
    <col min="3" max="3" width="25.265625" style="41" customWidth="1"/>
    <col min="4" max="8" width="12.59765625" style="41" customWidth="1"/>
    <col min="9" max="9" width="17.265625" style="41" customWidth="1"/>
    <col min="10" max="11" width="15.86328125" style="41" customWidth="1"/>
    <col min="12" max="14" width="12.59765625" style="41" customWidth="1"/>
    <col min="15" max="15" width="3.59765625" style="41" customWidth="1"/>
    <col min="16" max="22" width="9.1328125" style="41" hidden="1"/>
    <col min="23" max="181" width="4.3984375" style="41" hidden="1"/>
    <col min="182" max="16383" width="0" style="41" hidden="1"/>
    <col min="16384" max="16384" width="5.73046875" style="41" hidden="1"/>
  </cols>
  <sheetData>
    <row r="1" spans="2:14" ht="15.75" customHeight="1">
      <c r="B1" s="89"/>
      <c r="C1" s="89"/>
      <c r="D1" s="89"/>
      <c r="E1" s="89"/>
      <c r="F1" s="89"/>
      <c r="G1" s="89"/>
      <c r="H1" s="89"/>
      <c r="I1" s="90" t="s">
        <v>0</v>
      </c>
      <c r="J1" s="90"/>
      <c r="K1" s="90"/>
      <c r="L1" s="91"/>
      <c r="M1" s="90"/>
    </row>
    <row r="2" spans="2:14" ht="15.75" customHeight="1">
      <c r="B2" s="296" t="e" vm="1">
        <v>#VALUE!</v>
      </c>
      <c r="C2" s="296"/>
      <c r="D2" s="296" t="e" vm="2">
        <v>#VALUE!</v>
      </c>
      <c r="E2" s="296"/>
      <c r="F2" s="296"/>
      <c r="G2" s="296"/>
      <c r="H2" s="92"/>
      <c r="J2" s="297"/>
      <c r="K2" s="297"/>
      <c r="L2" s="297"/>
      <c r="M2" s="297"/>
      <c r="N2" s="297"/>
    </row>
    <row r="3" spans="2:14" ht="15.75" customHeight="1">
      <c r="B3" s="296"/>
      <c r="C3" s="296"/>
      <c r="D3" s="296"/>
      <c r="E3" s="296"/>
      <c r="F3" s="296"/>
      <c r="G3" s="296"/>
      <c r="H3" s="9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14" ht="15.75" customHeight="1">
      <c r="B4" s="296"/>
      <c r="C4" s="296"/>
      <c r="D4" s="296"/>
      <c r="E4" s="296"/>
      <c r="F4" s="296"/>
      <c r="G4" s="296"/>
      <c r="H4" s="9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14" ht="15.75" customHeight="1" thickBot="1">
      <c r="B5" s="296"/>
      <c r="C5" s="296"/>
      <c r="D5" s="296"/>
      <c r="E5" s="296"/>
      <c r="F5" s="296"/>
      <c r="G5" s="296"/>
      <c r="H5" s="92"/>
      <c r="I5" s="71" t="s">
        <v>3</v>
      </c>
      <c r="J5" s="199" t="str">
        <f>INDEX!G5</f>
        <v>2025-2026</v>
      </c>
      <c r="K5" s="199"/>
      <c r="L5" s="199"/>
      <c r="M5" s="199"/>
    </row>
    <row r="6" spans="2:14" ht="15.75" customHeight="1" thickBot="1">
      <c r="B6" s="296"/>
      <c r="C6" s="296"/>
      <c r="D6" s="296"/>
      <c r="E6" s="296"/>
      <c r="F6" s="296"/>
      <c r="G6" s="296"/>
      <c r="H6" s="92"/>
      <c r="I6" s="72" t="s">
        <v>27</v>
      </c>
      <c r="J6" s="199" t="s">
        <v>24</v>
      </c>
      <c r="K6" s="199"/>
      <c r="L6" s="199"/>
      <c r="M6" s="199"/>
    </row>
    <row r="7" spans="2:14">
      <c r="B7" s="89"/>
      <c r="C7" s="89"/>
      <c r="D7" s="92"/>
      <c r="E7" s="92"/>
      <c r="F7" s="92"/>
      <c r="G7" s="92"/>
      <c r="H7" s="92"/>
      <c r="I7" s="73" t="s">
        <v>29</v>
      </c>
      <c r="J7" s="249"/>
      <c r="K7" s="298"/>
      <c r="L7" s="298"/>
      <c r="M7" s="298"/>
    </row>
    <row r="8" spans="2:14" ht="27" customHeight="1"/>
    <row r="9" spans="2:14" s="93" customFormat="1" ht="21">
      <c r="B9" s="196" t="s">
        <v>30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14"/>
    <row r="11" spans="2:14" ht="15.6" customHeight="1">
      <c r="B11" s="250" t="s">
        <v>31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</row>
    <row r="12" spans="2:14" ht="56.25" customHeight="1">
      <c r="B12" s="245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7"/>
    </row>
    <row r="13" spans="2:14" ht="27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4">
      <c r="B14" s="250" t="s">
        <v>32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</row>
    <row r="15" spans="2:14" ht="56.25" customHeight="1">
      <c r="B15" s="245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7"/>
    </row>
    <row r="16" spans="2:14" ht="27" customHeight="1"/>
    <row r="17" spans="2:14">
      <c r="B17" s="250" t="s">
        <v>72</v>
      </c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</row>
    <row r="18" spans="2:14" ht="56.25" customHeight="1">
      <c r="B18" s="245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7"/>
    </row>
    <row r="19" spans="2:14" ht="27" customHeight="1"/>
    <row r="20" spans="2:14" s="93" customFormat="1" ht="21">
      <c r="B20" s="196" t="s">
        <v>34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2:14">
      <c r="B21" s="1" t="s">
        <v>35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4" ht="56.25" customHeight="1">
      <c r="B22" s="245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7"/>
    </row>
    <row r="23" spans="2:14" ht="27" customHeight="1"/>
    <row r="24" spans="2:14" s="93" customFormat="1" ht="21">
      <c r="B24" s="196" t="s">
        <v>73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</row>
    <row r="25" spans="2:14">
      <c r="B25" s="74" t="s">
        <v>74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95"/>
    </row>
    <row r="26" spans="2:14" ht="18.75" customHeight="1">
      <c r="B26" s="256" t="s">
        <v>75</v>
      </c>
      <c r="C26" s="256"/>
      <c r="D26" s="54">
        <f>COUNTIFS($C$39:$C$78,"&lt;&gt;",$D$39:$D$78,"&lt;&gt;Baixa")-COUNTBLANK($C$39:$C$78)</f>
        <v>0</v>
      </c>
      <c r="E26" s="78" t="s">
        <v>40</v>
      </c>
      <c r="F26" s="94"/>
      <c r="G26" s="96" t="s">
        <v>86</v>
      </c>
      <c r="I26" s="97"/>
      <c r="J26" s="97"/>
      <c r="L26" s="98" t="s">
        <v>87</v>
      </c>
      <c r="M26" s="99" t="s">
        <v>88</v>
      </c>
      <c r="N26" s="81"/>
    </row>
    <row r="27" spans="2:14" ht="18.75" customHeight="1">
      <c r="B27" s="256" t="s">
        <v>43</v>
      </c>
      <c r="C27" s="256"/>
      <c r="D27" s="54">
        <f>COUNTIFS($D$39:$D$78,"Baixa")</f>
        <v>0</v>
      </c>
      <c r="E27" s="79" t="str">
        <f>IFERROR(D27/$D$26,"-")</f>
        <v>-</v>
      </c>
      <c r="F27" s="94"/>
      <c r="G27" s="100" t="s">
        <v>89</v>
      </c>
      <c r="H27" s="101"/>
      <c r="I27" s="101"/>
      <c r="J27" s="101"/>
      <c r="K27" s="101"/>
      <c r="L27" s="102">
        <v>0</v>
      </c>
      <c r="M27" s="103" t="str">
        <f>IFERROR(L27/$D$26,"-")</f>
        <v>-</v>
      </c>
      <c r="N27" s="104"/>
    </row>
    <row r="28" spans="2:14" ht="18.75" customHeight="1">
      <c r="B28" s="256" t="s">
        <v>77</v>
      </c>
      <c r="C28" s="256"/>
      <c r="D28" s="56">
        <v>0</v>
      </c>
      <c r="E28" s="79" t="str">
        <f t="shared" ref="E28:E31" si="0">IFERROR(D28/$D$26,"-")</f>
        <v>-</v>
      </c>
      <c r="F28" s="94"/>
      <c r="G28" s="302" t="s">
        <v>90</v>
      </c>
      <c r="H28" s="302"/>
      <c r="I28" s="302"/>
      <c r="J28" s="302"/>
      <c r="K28" s="302"/>
      <c r="L28" s="105"/>
      <c r="M28" s="105"/>
      <c r="N28" s="105"/>
    </row>
    <row r="29" spans="2:14" ht="18.75" customHeight="1">
      <c r="B29" s="256" t="s">
        <v>78</v>
      </c>
      <c r="C29" s="256"/>
      <c r="D29" s="56">
        <v>0</v>
      </c>
      <c r="E29" s="79" t="str">
        <f t="shared" si="0"/>
        <v>-</v>
      </c>
      <c r="F29" s="94"/>
      <c r="G29" s="302"/>
      <c r="H29" s="302"/>
      <c r="I29" s="302"/>
      <c r="J29" s="302"/>
      <c r="K29" s="302"/>
      <c r="L29" s="98" t="s">
        <v>87</v>
      </c>
      <c r="M29" s="99" t="s">
        <v>88</v>
      </c>
      <c r="N29" s="81"/>
    </row>
    <row r="30" spans="2:14" ht="18.75" customHeight="1">
      <c r="B30" s="256" t="s">
        <v>79</v>
      </c>
      <c r="C30" s="256"/>
      <c r="D30" s="56">
        <v>0</v>
      </c>
      <c r="E30" s="79" t="str">
        <f t="shared" si="0"/>
        <v>-</v>
      </c>
      <c r="F30" s="94"/>
      <c r="G30" s="100" t="s">
        <v>91</v>
      </c>
      <c r="H30" s="101"/>
      <c r="I30" s="106"/>
      <c r="J30" s="106"/>
      <c r="K30" s="101"/>
      <c r="L30" s="102">
        <v>0</v>
      </c>
      <c r="M30" s="103" t="str">
        <f>IFERROR(L30/$D$26,"-")</f>
        <v>-</v>
      </c>
      <c r="N30" s="81"/>
    </row>
    <row r="31" spans="2:14" ht="18.75" customHeight="1">
      <c r="B31" s="256" t="s">
        <v>80</v>
      </c>
      <c r="C31" s="256"/>
      <c r="D31" s="80">
        <v>0</v>
      </c>
      <c r="E31" s="79" t="str">
        <f t="shared" si="0"/>
        <v>-</v>
      </c>
      <c r="F31" s="94"/>
      <c r="G31" s="299" t="s">
        <v>92</v>
      </c>
      <c r="H31" s="300"/>
      <c r="I31" s="300"/>
      <c r="J31" s="300"/>
      <c r="K31" s="300"/>
      <c r="L31" s="99"/>
      <c r="M31" s="81"/>
      <c r="N31" s="81"/>
    </row>
    <row r="32" spans="2:14" ht="18.75" customHeight="1">
      <c r="B32" s="77"/>
      <c r="C32" s="77"/>
      <c r="D32" s="99"/>
      <c r="E32" s="81"/>
      <c r="F32" s="94"/>
      <c r="G32" s="301"/>
      <c r="H32" s="301"/>
      <c r="I32" s="301"/>
      <c r="J32" s="301"/>
      <c r="K32" s="301"/>
      <c r="L32" s="99"/>
      <c r="M32" s="81"/>
      <c r="N32" s="81"/>
    </row>
    <row r="33" spans="1:14" ht="18.75" customHeight="1">
      <c r="B33" s="77"/>
      <c r="C33" s="303" t="s">
        <v>76</v>
      </c>
      <c r="D33" s="304"/>
      <c r="E33" s="304"/>
      <c r="F33" s="304"/>
      <c r="G33" s="304"/>
      <c r="H33" s="304"/>
      <c r="I33" s="304"/>
      <c r="J33" s="304"/>
      <c r="K33" s="304"/>
      <c r="L33" s="304"/>
      <c r="M33" s="305"/>
      <c r="N33" s="81"/>
    </row>
    <row r="34" spans="1:14" ht="18.75" customHeight="1">
      <c r="B34" s="77"/>
      <c r="C34" s="306"/>
      <c r="D34" s="307"/>
      <c r="E34" s="307"/>
      <c r="F34" s="307"/>
      <c r="G34" s="307"/>
      <c r="H34" s="307"/>
      <c r="I34" s="307"/>
      <c r="J34" s="307"/>
      <c r="K34" s="307"/>
      <c r="L34" s="307"/>
      <c r="M34" s="308"/>
      <c r="N34" s="81"/>
    </row>
    <row r="35" spans="1:14" ht="27" customHeight="1"/>
    <row r="36" spans="1:14" s="93" customFormat="1" ht="21">
      <c r="B36" s="196" t="s">
        <v>54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</row>
    <row r="37" spans="1:14"/>
    <row r="38" spans="1:14" s="107" customFormat="1" ht="32.25" customHeight="1">
      <c r="B38" s="63" t="s">
        <v>55</v>
      </c>
      <c r="C38" s="63" t="s">
        <v>56</v>
      </c>
      <c r="D38" s="64" t="s">
        <v>93</v>
      </c>
      <c r="E38" s="251" t="s">
        <v>94</v>
      </c>
      <c r="F38" s="251"/>
      <c r="G38" s="251"/>
      <c r="H38" s="251"/>
      <c r="I38" s="251"/>
      <c r="J38" s="251"/>
      <c r="K38" s="251"/>
      <c r="L38" s="251"/>
      <c r="M38" s="251"/>
      <c r="N38" s="252"/>
    </row>
    <row r="39" spans="1:14" ht="33" customHeight="1">
      <c r="A39" s="107">
        <v>1</v>
      </c>
      <c r="B39" s="63" t="str">
        <f>IF('0 AVAL'!B36 = "", "", '0 AVAL'!B36)</f>
        <v/>
      </c>
      <c r="C39" s="63" t="str">
        <f>IF('0 AVAL'!C36 = "", "", '0 AVAL'!C36)</f>
        <v/>
      </c>
      <c r="D39" s="63"/>
      <c r="E39" s="271"/>
      <c r="F39" s="272"/>
      <c r="G39" s="272"/>
      <c r="H39" s="272"/>
      <c r="I39" s="272"/>
      <c r="J39" s="272"/>
      <c r="K39" s="272"/>
      <c r="L39" s="272"/>
      <c r="M39" s="272"/>
      <c r="N39" s="273"/>
    </row>
    <row r="40" spans="1:14" ht="33" customHeight="1">
      <c r="A40" s="107">
        <v>2</v>
      </c>
      <c r="B40" s="63" t="str">
        <f>IF('0 AVAL'!B37 = "", "", '0 AVAL'!B37)</f>
        <v/>
      </c>
      <c r="C40" s="63" t="str">
        <f>IF('0 AVAL'!C37 = "", "", '0 AVAL'!C37)</f>
        <v/>
      </c>
      <c r="D40" s="63"/>
      <c r="E40" s="271"/>
      <c r="F40" s="272"/>
      <c r="G40" s="272"/>
      <c r="H40" s="272"/>
      <c r="I40" s="272"/>
      <c r="J40" s="272"/>
      <c r="K40" s="272"/>
      <c r="L40" s="272"/>
      <c r="M40" s="272"/>
      <c r="N40" s="273"/>
    </row>
    <row r="41" spans="1:14" ht="33" customHeight="1">
      <c r="A41" s="107">
        <v>3</v>
      </c>
      <c r="B41" s="63" t="str">
        <f>IF('0 AVAL'!B38 = "", "", '0 AVAL'!B38)</f>
        <v/>
      </c>
      <c r="C41" s="63" t="str">
        <f>IF('0 AVAL'!C38 = "", "", '0 AVAL'!C38)</f>
        <v/>
      </c>
      <c r="D41" s="63"/>
      <c r="E41" s="271"/>
      <c r="F41" s="272"/>
      <c r="G41" s="272"/>
      <c r="H41" s="272"/>
      <c r="I41" s="272"/>
      <c r="J41" s="272"/>
      <c r="K41" s="272"/>
      <c r="L41" s="272"/>
      <c r="M41" s="272"/>
      <c r="N41" s="273"/>
    </row>
    <row r="42" spans="1:14" ht="33" customHeight="1">
      <c r="A42" s="107">
        <v>4</v>
      </c>
      <c r="B42" s="63" t="str">
        <f>IF('0 AVAL'!B39 = "", "", '0 AVAL'!B39)</f>
        <v/>
      </c>
      <c r="C42" s="63" t="str">
        <f>IF('0 AVAL'!C39 = "", "", '0 AVAL'!C39)</f>
        <v/>
      </c>
      <c r="D42" s="63"/>
      <c r="E42" s="271"/>
      <c r="F42" s="272"/>
      <c r="G42" s="272"/>
      <c r="H42" s="272"/>
      <c r="I42" s="272"/>
      <c r="J42" s="272"/>
      <c r="K42" s="272"/>
      <c r="L42" s="272"/>
      <c r="M42" s="272"/>
      <c r="N42" s="273"/>
    </row>
    <row r="43" spans="1:14" ht="33" customHeight="1">
      <c r="A43" s="107">
        <v>5</v>
      </c>
      <c r="B43" s="63" t="str">
        <f>IF('0 AVAL'!B40 = "", "", '0 AVAL'!B40)</f>
        <v/>
      </c>
      <c r="C43" s="63" t="str">
        <f>IF('0 AVAL'!C40 = "", "", '0 AVAL'!C40)</f>
        <v/>
      </c>
      <c r="D43" s="63"/>
      <c r="E43" s="271"/>
      <c r="F43" s="272"/>
      <c r="G43" s="272"/>
      <c r="H43" s="272"/>
      <c r="I43" s="272"/>
      <c r="J43" s="272"/>
      <c r="K43" s="272"/>
      <c r="L43" s="272"/>
      <c r="M43" s="272"/>
      <c r="N43" s="273"/>
    </row>
    <row r="44" spans="1:14" ht="33" customHeight="1">
      <c r="A44" s="107">
        <v>6</v>
      </c>
      <c r="B44" s="63" t="str">
        <f>IF('0 AVAL'!B41 = "", "", '0 AVAL'!B41)</f>
        <v/>
      </c>
      <c r="C44" s="63" t="str">
        <f>IF('0 AVAL'!C41 = "", "", '0 AVAL'!C41)</f>
        <v/>
      </c>
      <c r="D44" s="63"/>
      <c r="E44" s="271"/>
      <c r="F44" s="272"/>
      <c r="G44" s="272"/>
      <c r="H44" s="272"/>
      <c r="I44" s="272"/>
      <c r="J44" s="272"/>
      <c r="K44" s="272"/>
      <c r="L44" s="272"/>
      <c r="M44" s="272"/>
      <c r="N44" s="273"/>
    </row>
    <row r="45" spans="1:14" ht="33" customHeight="1">
      <c r="A45" s="107">
        <v>7</v>
      </c>
      <c r="B45" s="63" t="str">
        <f>IF('0 AVAL'!B42 = "", "", '0 AVAL'!B42)</f>
        <v/>
      </c>
      <c r="C45" s="63" t="str">
        <f>IF('0 AVAL'!C42 = "", "", '0 AVAL'!C42)</f>
        <v/>
      </c>
      <c r="D45" s="63"/>
      <c r="E45" s="271"/>
      <c r="F45" s="272"/>
      <c r="G45" s="272"/>
      <c r="H45" s="272"/>
      <c r="I45" s="272"/>
      <c r="J45" s="272"/>
      <c r="K45" s="272"/>
      <c r="L45" s="272"/>
      <c r="M45" s="272"/>
      <c r="N45" s="273"/>
    </row>
    <row r="46" spans="1:14" ht="33" customHeight="1">
      <c r="A46" s="107">
        <v>8</v>
      </c>
      <c r="B46" s="63" t="str">
        <f>IF('0 AVAL'!B43 = "", "", '0 AVAL'!B43)</f>
        <v/>
      </c>
      <c r="C46" s="63" t="str">
        <f>IF('0 AVAL'!C43 = "", "", '0 AVAL'!C43)</f>
        <v/>
      </c>
      <c r="D46" s="63"/>
      <c r="E46" s="271"/>
      <c r="F46" s="272"/>
      <c r="G46" s="272"/>
      <c r="H46" s="272"/>
      <c r="I46" s="272"/>
      <c r="J46" s="272"/>
      <c r="K46" s="272"/>
      <c r="L46" s="272"/>
      <c r="M46" s="272"/>
      <c r="N46" s="273"/>
    </row>
    <row r="47" spans="1:14" ht="33" customHeight="1">
      <c r="A47" s="107">
        <v>9</v>
      </c>
      <c r="B47" s="63" t="str">
        <f>IF('0 AVAL'!B44 = "", "", '0 AVAL'!B44)</f>
        <v/>
      </c>
      <c r="C47" s="63" t="str">
        <f>IF('0 AVAL'!C44 = "", "", '0 AVAL'!C44)</f>
        <v/>
      </c>
      <c r="D47" s="63"/>
      <c r="E47" s="271"/>
      <c r="F47" s="272"/>
      <c r="G47" s="272"/>
      <c r="H47" s="272"/>
      <c r="I47" s="272"/>
      <c r="J47" s="272"/>
      <c r="K47" s="272"/>
      <c r="L47" s="272"/>
      <c r="M47" s="272"/>
      <c r="N47" s="273"/>
    </row>
    <row r="48" spans="1:14" ht="33" customHeight="1">
      <c r="A48" s="107">
        <v>10</v>
      </c>
      <c r="B48" s="63" t="str">
        <f>IF('0 AVAL'!B45 = "", "", '0 AVAL'!B45)</f>
        <v/>
      </c>
      <c r="C48" s="63" t="str">
        <f>IF('0 AVAL'!C45 = "", "", '0 AVAL'!C45)</f>
        <v/>
      </c>
      <c r="D48" s="63"/>
      <c r="E48" s="271"/>
      <c r="F48" s="272"/>
      <c r="G48" s="272"/>
      <c r="H48" s="272"/>
      <c r="I48" s="272"/>
      <c r="J48" s="272"/>
      <c r="K48" s="272"/>
      <c r="L48" s="272"/>
      <c r="M48" s="272"/>
      <c r="N48" s="273"/>
    </row>
    <row r="49" spans="1:14" ht="33" customHeight="1">
      <c r="A49" s="107">
        <v>11</v>
      </c>
      <c r="B49" s="63" t="str">
        <f>IF('0 AVAL'!B46 = "", "", '0 AVAL'!B46)</f>
        <v/>
      </c>
      <c r="C49" s="63" t="str">
        <f>IF('0 AVAL'!C46 = "", "", '0 AVAL'!C46)</f>
        <v/>
      </c>
      <c r="D49" s="63"/>
      <c r="E49" s="271"/>
      <c r="F49" s="272"/>
      <c r="G49" s="272"/>
      <c r="H49" s="272"/>
      <c r="I49" s="272"/>
      <c r="J49" s="272"/>
      <c r="K49" s="272"/>
      <c r="L49" s="272"/>
      <c r="M49" s="272"/>
      <c r="N49" s="273"/>
    </row>
    <row r="50" spans="1:14" ht="33" customHeight="1">
      <c r="A50" s="107">
        <v>12</v>
      </c>
      <c r="B50" s="63" t="str">
        <f>IF('0 AVAL'!B47 = "", "", '0 AVAL'!B47)</f>
        <v/>
      </c>
      <c r="C50" s="63" t="str">
        <f>IF('0 AVAL'!C47 = "", "", '0 AVAL'!C47)</f>
        <v/>
      </c>
      <c r="D50" s="63"/>
      <c r="E50" s="271"/>
      <c r="F50" s="272"/>
      <c r="G50" s="272"/>
      <c r="H50" s="272"/>
      <c r="I50" s="272"/>
      <c r="J50" s="272"/>
      <c r="K50" s="272"/>
      <c r="L50" s="272"/>
      <c r="M50" s="272"/>
      <c r="N50" s="273"/>
    </row>
    <row r="51" spans="1:14" ht="33" customHeight="1">
      <c r="A51" s="107">
        <v>13</v>
      </c>
      <c r="B51" s="63" t="str">
        <f>IF('0 AVAL'!B48 = "", "", '0 AVAL'!B48)</f>
        <v/>
      </c>
      <c r="C51" s="63" t="str">
        <f>IF('0 AVAL'!C48 = "", "", '0 AVAL'!C48)</f>
        <v/>
      </c>
      <c r="D51" s="63"/>
      <c r="E51" s="271"/>
      <c r="F51" s="272"/>
      <c r="G51" s="272"/>
      <c r="H51" s="272"/>
      <c r="I51" s="272"/>
      <c r="J51" s="272"/>
      <c r="K51" s="272"/>
      <c r="L51" s="272"/>
      <c r="M51" s="272"/>
      <c r="N51" s="273"/>
    </row>
    <row r="52" spans="1:14" ht="33" customHeight="1">
      <c r="A52" s="107">
        <v>14</v>
      </c>
      <c r="B52" s="63" t="str">
        <f>IF('0 AVAL'!B49 = "", "", '0 AVAL'!B49)</f>
        <v/>
      </c>
      <c r="C52" s="63" t="str">
        <f>IF('0 AVAL'!C49 = "", "", '0 AVAL'!C49)</f>
        <v/>
      </c>
      <c r="D52" s="63"/>
      <c r="E52" s="271"/>
      <c r="F52" s="272"/>
      <c r="G52" s="272"/>
      <c r="H52" s="272"/>
      <c r="I52" s="272"/>
      <c r="J52" s="272"/>
      <c r="K52" s="272"/>
      <c r="L52" s="272"/>
      <c r="M52" s="272"/>
      <c r="N52" s="273"/>
    </row>
    <row r="53" spans="1:14" ht="33" customHeight="1">
      <c r="A53" s="107">
        <v>15</v>
      </c>
      <c r="B53" s="63" t="str">
        <f>IF('0 AVAL'!B50 = "", "", '0 AVAL'!B50)</f>
        <v/>
      </c>
      <c r="C53" s="63" t="str">
        <f>IF('0 AVAL'!C50 = "", "", '0 AVAL'!C50)</f>
        <v/>
      </c>
      <c r="D53" s="63"/>
      <c r="E53" s="271"/>
      <c r="F53" s="272"/>
      <c r="G53" s="272"/>
      <c r="H53" s="272"/>
      <c r="I53" s="272"/>
      <c r="J53" s="272"/>
      <c r="K53" s="272"/>
      <c r="L53" s="272"/>
      <c r="M53" s="272"/>
      <c r="N53" s="273"/>
    </row>
    <row r="54" spans="1:14" ht="33" customHeight="1">
      <c r="A54" s="107">
        <v>16</v>
      </c>
      <c r="B54" s="63" t="str">
        <f>IF('0 AVAL'!B51 = "", "", '0 AVAL'!B51)</f>
        <v/>
      </c>
      <c r="C54" s="63" t="str">
        <f>IF('0 AVAL'!C51 = "", "", '0 AVAL'!C51)</f>
        <v/>
      </c>
      <c r="D54" s="63"/>
      <c r="E54" s="271"/>
      <c r="F54" s="272"/>
      <c r="G54" s="272"/>
      <c r="H54" s="272"/>
      <c r="I54" s="272"/>
      <c r="J54" s="272"/>
      <c r="K54" s="272"/>
      <c r="L54" s="272"/>
      <c r="M54" s="272"/>
      <c r="N54" s="273"/>
    </row>
    <row r="55" spans="1:14" ht="33" customHeight="1">
      <c r="A55" s="107">
        <v>17</v>
      </c>
      <c r="B55" s="63" t="str">
        <f>IF('0 AVAL'!B52 = "", "", '0 AVAL'!B52)</f>
        <v/>
      </c>
      <c r="C55" s="63" t="str">
        <f>IF('0 AVAL'!C52 = "", "", '0 AVAL'!C52)</f>
        <v/>
      </c>
      <c r="D55" s="63"/>
      <c r="E55" s="271"/>
      <c r="F55" s="272"/>
      <c r="G55" s="272"/>
      <c r="H55" s="272"/>
      <c r="I55" s="272"/>
      <c r="J55" s="272"/>
      <c r="K55" s="272"/>
      <c r="L55" s="272"/>
      <c r="M55" s="272"/>
      <c r="N55" s="273"/>
    </row>
    <row r="56" spans="1:14" ht="33" customHeight="1">
      <c r="A56" s="107">
        <v>18</v>
      </c>
      <c r="B56" s="63" t="str">
        <f>IF('0 AVAL'!B53 = "", "", '0 AVAL'!B53)</f>
        <v/>
      </c>
      <c r="C56" s="63" t="str">
        <f>IF('0 AVAL'!C53 = "", "", '0 AVAL'!C53)</f>
        <v/>
      </c>
      <c r="D56" s="63"/>
      <c r="E56" s="271"/>
      <c r="F56" s="272"/>
      <c r="G56" s="272"/>
      <c r="H56" s="272"/>
      <c r="I56" s="272"/>
      <c r="J56" s="272"/>
      <c r="K56" s="272"/>
      <c r="L56" s="272"/>
      <c r="M56" s="272"/>
      <c r="N56" s="273"/>
    </row>
    <row r="57" spans="1:14" ht="33" customHeight="1">
      <c r="A57" s="107">
        <v>19</v>
      </c>
      <c r="B57" s="63" t="str">
        <f>IF('0 AVAL'!B54 = "", "", '0 AVAL'!B54)</f>
        <v/>
      </c>
      <c r="C57" s="63" t="str">
        <f>IF('0 AVAL'!C54 = "", "", '0 AVAL'!C54)</f>
        <v/>
      </c>
      <c r="D57" s="63"/>
      <c r="E57" s="271"/>
      <c r="F57" s="272"/>
      <c r="G57" s="272"/>
      <c r="H57" s="272"/>
      <c r="I57" s="272"/>
      <c r="J57" s="272"/>
      <c r="K57" s="272"/>
      <c r="L57" s="272"/>
      <c r="M57" s="272"/>
      <c r="N57" s="273"/>
    </row>
    <row r="58" spans="1:14" ht="33" customHeight="1">
      <c r="A58" s="107">
        <v>20</v>
      </c>
      <c r="B58" s="63" t="str">
        <f>IF('0 AVAL'!B55 = "", "", '0 AVAL'!B55)</f>
        <v/>
      </c>
      <c r="C58" s="63" t="str">
        <f>IF('0 AVAL'!C55 = "", "", '0 AVAL'!C55)</f>
        <v/>
      </c>
      <c r="D58" s="63"/>
      <c r="E58" s="271"/>
      <c r="F58" s="272"/>
      <c r="G58" s="272"/>
      <c r="H58" s="272"/>
      <c r="I58" s="272"/>
      <c r="J58" s="272"/>
      <c r="K58" s="272"/>
      <c r="L58" s="272"/>
      <c r="M58" s="272"/>
      <c r="N58" s="273"/>
    </row>
    <row r="59" spans="1:14" ht="33" customHeight="1">
      <c r="A59" s="107">
        <v>21</v>
      </c>
      <c r="B59" s="63" t="str">
        <f>IF('0 AVAL'!B56 = "", "", '0 AVAL'!B56)</f>
        <v/>
      </c>
      <c r="C59" s="63" t="str">
        <f>IF('0 AVAL'!C56 = "", "", '0 AVAL'!C56)</f>
        <v/>
      </c>
      <c r="D59" s="63"/>
      <c r="E59" s="271"/>
      <c r="F59" s="272"/>
      <c r="G59" s="272"/>
      <c r="H59" s="272"/>
      <c r="I59" s="272"/>
      <c r="J59" s="272"/>
      <c r="K59" s="272"/>
      <c r="L59" s="272"/>
      <c r="M59" s="272"/>
      <c r="N59" s="273"/>
    </row>
    <row r="60" spans="1:14" ht="33" customHeight="1">
      <c r="A60" s="107">
        <v>22</v>
      </c>
      <c r="B60" s="63" t="str">
        <f>IF('0 AVAL'!B57 = "", "", '0 AVAL'!B57)</f>
        <v/>
      </c>
      <c r="C60" s="63" t="str">
        <f>IF('0 AVAL'!C57 = "", "", '0 AVAL'!C57)</f>
        <v/>
      </c>
      <c r="D60" s="63"/>
      <c r="E60" s="271"/>
      <c r="F60" s="272"/>
      <c r="G60" s="272"/>
      <c r="H60" s="272"/>
      <c r="I60" s="272"/>
      <c r="J60" s="272"/>
      <c r="K60" s="272"/>
      <c r="L60" s="272"/>
      <c r="M60" s="272"/>
      <c r="N60" s="273"/>
    </row>
    <row r="61" spans="1:14" ht="33" customHeight="1">
      <c r="A61" s="107">
        <v>23</v>
      </c>
      <c r="B61" s="63" t="str">
        <f>IF('0 AVAL'!B58 = "", "", '0 AVAL'!B58)</f>
        <v/>
      </c>
      <c r="C61" s="63" t="str">
        <f>IF('0 AVAL'!C58 = "", "", '0 AVAL'!C58)</f>
        <v/>
      </c>
      <c r="D61" s="63"/>
      <c r="E61" s="271"/>
      <c r="F61" s="272"/>
      <c r="G61" s="272"/>
      <c r="H61" s="272"/>
      <c r="I61" s="272"/>
      <c r="J61" s="272"/>
      <c r="K61" s="272"/>
      <c r="L61" s="272"/>
      <c r="M61" s="272"/>
      <c r="N61" s="273"/>
    </row>
    <row r="62" spans="1:14" ht="33" customHeight="1">
      <c r="A62" s="107">
        <v>24</v>
      </c>
      <c r="B62" s="63" t="str">
        <f>IF('0 AVAL'!B59 = "", "", '0 AVAL'!B59)</f>
        <v/>
      </c>
      <c r="C62" s="63" t="str">
        <f>IF('0 AVAL'!C59 = "", "", '0 AVAL'!C59)</f>
        <v/>
      </c>
      <c r="D62" s="63"/>
      <c r="E62" s="271"/>
      <c r="F62" s="272"/>
      <c r="G62" s="272"/>
      <c r="H62" s="272"/>
      <c r="I62" s="272"/>
      <c r="J62" s="272"/>
      <c r="K62" s="272"/>
      <c r="L62" s="272"/>
      <c r="M62" s="272"/>
      <c r="N62" s="273"/>
    </row>
    <row r="63" spans="1:14" ht="33" customHeight="1">
      <c r="A63" s="107">
        <v>25</v>
      </c>
      <c r="B63" s="63" t="str">
        <f>IF('0 AVAL'!B60 = "", "", '0 AVAL'!B60)</f>
        <v/>
      </c>
      <c r="C63" s="63" t="str">
        <f>IF('0 AVAL'!C60 = "", "", '0 AVAL'!C60)</f>
        <v/>
      </c>
      <c r="D63" s="63"/>
      <c r="E63" s="271"/>
      <c r="F63" s="272"/>
      <c r="G63" s="272"/>
      <c r="H63" s="272"/>
      <c r="I63" s="272"/>
      <c r="J63" s="272"/>
      <c r="K63" s="272"/>
      <c r="L63" s="272"/>
      <c r="M63" s="272"/>
      <c r="N63" s="273"/>
    </row>
    <row r="64" spans="1:14" ht="33" customHeight="1">
      <c r="A64" s="107">
        <v>26</v>
      </c>
      <c r="B64" s="63" t="str">
        <f>IF('0 AVAL'!B61 = "", "", '0 AVAL'!B61)</f>
        <v/>
      </c>
      <c r="C64" s="63" t="str">
        <f>IF('0 AVAL'!C61 = "", "", '0 AVAL'!C61)</f>
        <v/>
      </c>
      <c r="D64" s="63"/>
      <c r="E64" s="271"/>
      <c r="F64" s="272"/>
      <c r="G64" s="272"/>
      <c r="H64" s="272"/>
      <c r="I64" s="272"/>
      <c r="J64" s="272"/>
      <c r="K64" s="272"/>
      <c r="L64" s="272"/>
      <c r="M64" s="272"/>
      <c r="N64" s="273"/>
    </row>
    <row r="65" spans="1:14" ht="33" customHeight="1">
      <c r="A65" s="107">
        <v>27</v>
      </c>
      <c r="B65" s="63" t="str">
        <f>IF('0 AVAL'!B62 = "", "", '0 AVAL'!B62)</f>
        <v/>
      </c>
      <c r="C65" s="63" t="str">
        <f>IF('0 AVAL'!C62 = "", "", '0 AVAL'!C62)</f>
        <v/>
      </c>
      <c r="D65" s="63"/>
      <c r="E65" s="271"/>
      <c r="F65" s="272"/>
      <c r="G65" s="272"/>
      <c r="H65" s="272"/>
      <c r="I65" s="272"/>
      <c r="J65" s="272"/>
      <c r="K65" s="272"/>
      <c r="L65" s="272"/>
      <c r="M65" s="272"/>
      <c r="N65" s="273"/>
    </row>
    <row r="66" spans="1:14" ht="33" customHeight="1">
      <c r="A66" s="107">
        <v>28</v>
      </c>
      <c r="B66" s="63" t="str">
        <f>IF('0 AVAL'!B63 = "", "", '0 AVAL'!B63)</f>
        <v/>
      </c>
      <c r="C66" s="63" t="str">
        <f>IF('0 AVAL'!C63 = "", "", '0 AVAL'!C63)</f>
        <v/>
      </c>
      <c r="D66" s="63"/>
      <c r="E66" s="271"/>
      <c r="F66" s="272"/>
      <c r="G66" s="272"/>
      <c r="H66" s="272"/>
      <c r="I66" s="272"/>
      <c r="J66" s="272"/>
      <c r="K66" s="272"/>
      <c r="L66" s="272"/>
      <c r="M66" s="272"/>
      <c r="N66" s="273"/>
    </row>
    <row r="67" spans="1:14" ht="33" customHeight="1">
      <c r="A67" s="107">
        <v>29</v>
      </c>
      <c r="B67" s="63" t="str">
        <f>IF('0 AVAL'!B64 = "", "", '0 AVAL'!B64)</f>
        <v/>
      </c>
      <c r="C67" s="63" t="str">
        <f>IF('0 AVAL'!C64 = "", "", '0 AVAL'!C64)</f>
        <v/>
      </c>
      <c r="D67" s="63"/>
      <c r="E67" s="271"/>
      <c r="F67" s="272"/>
      <c r="G67" s="272"/>
      <c r="H67" s="272"/>
      <c r="I67" s="272"/>
      <c r="J67" s="272"/>
      <c r="K67" s="272"/>
      <c r="L67" s="272"/>
      <c r="M67" s="272"/>
      <c r="N67" s="273"/>
    </row>
    <row r="68" spans="1:14" ht="33" customHeight="1">
      <c r="A68" s="107">
        <v>30</v>
      </c>
      <c r="B68" s="63" t="str">
        <f>IF('0 AVAL'!B65 = "", "", '0 AVAL'!B65)</f>
        <v/>
      </c>
      <c r="C68" s="63" t="str">
        <f>IF('0 AVAL'!C65 = "", "", '0 AVAL'!C65)</f>
        <v/>
      </c>
      <c r="D68" s="63"/>
      <c r="E68" s="271"/>
      <c r="F68" s="272"/>
      <c r="G68" s="272"/>
      <c r="H68" s="272"/>
      <c r="I68" s="272"/>
      <c r="J68" s="272"/>
      <c r="K68" s="272"/>
      <c r="L68" s="272"/>
      <c r="M68" s="272"/>
      <c r="N68" s="273"/>
    </row>
    <row r="69" spans="1:14" ht="33" customHeight="1">
      <c r="A69" s="107">
        <v>31</v>
      </c>
      <c r="B69" s="63" t="str">
        <f>IF('0 AVAL'!B66 = "", "", '0 AVAL'!B66)</f>
        <v/>
      </c>
      <c r="C69" s="63" t="str">
        <f>IF('0 AVAL'!C66 = "", "", '0 AVAL'!C66)</f>
        <v/>
      </c>
      <c r="D69" s="63"/>
      <c r="E69" s="82"/>
      <c r="F69" s="83"/>
      <c r="G69" s="83"/>
      <c r="H69" s="83"/>
      <c r="I69" s="83"/>
      <c r="J69" s="83"/>
      <c r="K69" s="83"/>
      <c r="L69" s="83"/>
      <c r="M69" s="83"/>
      <c r="N69" s="84"/>
    </row>
    <row r="70" spans="1:14" ht="33" customHeight="1">
      <c r="A70" s="107">
        <v>32</v>
      </c>
      <c r="B70" s="63" t="str">
        <f>IF('0 AVAL'!B67 = "", "", '0 AVAL'!B67)</f>
        <v/>
      </c>
      <c r="C70" s="63" t="str">
        <f>IF('0 AVAL'!C67 = "", "", '0 AVAL'!C67)</f>
        <v/>
      </c>
      <c r="D70" s="63"/>
      <c r="E70" s="82"/>
      <c r="F70" s="83"/>
      <c r="G70" s="83"/>
      <c r="H70" s="83"/>
      <c r="I70" s="83"/>
      <c r="J70" s="83"/>
      <c r="K70" s="83"/>
      <c r="L70" s="83"/>
      <c r="M70" s="83"/>
      <c r="N70" s="84"/>
    </row>
    <row r="71" spans="1:14" ht="33" customHeight="1">
      <c r="A71" s="107">
        <v>33</v>
      </c>
      <c r="B71" s="63" t="str">
        <f>IF('0 AVAL'!B68 = "", "", '0 AVAL'!B68)</f>
        <v/>
      </c>
      <c r="C71" s="63" t="str">
        <f>IF('0 AVAL'!C68 = "", "", '0 AVAL'!C68)</f>
        <v/>
      </c>
      <c r="D71" s="63"/>
      <c r="E71" s="82"/>
      <c r="F71" s="83"/>
      <c r="G71" s="83"/>
      <c r="H71" s="83"/>
      <c r="I71" s="83"/>
      <c r="J71" s="83"/>
      <c r="K71" s="83"/>
      <c r="L71" s="83"/>
      <c r="M71" s="83"/>
      <c r="N71" s="84"/>
    </row>
    <row r="72" spans="1:14" ht="33" customHeight="1">
      <c r="A72" s="107">
        <v>34</v>
      </c>
      <c r="B72" s="63" t="str">
        <f>IF('0 AVAL'!B69 = "", "", '0 AVAL'!B69)</f>
        <v/>
      </c>
      <c r="C72" s="63" t="str">
        <f>IF('0 AVAL'!C69 = "", "", '0 AVAL'!C69)</f>
        <v/>
      </c>
      <c r="D72" s="63"/>
      <c r="E72" s="82"/>
      <c r="F72" s="83"/>
      <c r="G72" s="83"/>
      <c r="H72" s="83"/>
      <c r="I72" s="83"/>
      <c r="J72" s="83"/>
      <c r="K72" s="83"/>
      <c r="L72" s="83"/>
      <c r="M72" s="83"/>
      <c r="N72" s="84"/>
    </row>
    <row r="73" spans="1:14" ht="33" customHeight="1">
      <c r="A73" s="107">
        <v>35</v>
      </c>
      <c r="B73" s="63" t="str">
        <f>IF('0 AVAL'!B70 = "", "", '0 AVAL'!B70)</f>
        <v/>
      </c>
      <c r="C73" s="63" t="str">
        <f>IF('0 AVAL'!C70 = "", "", '0 AVAL'!C70)</f>
        <v/>
      </c>
      <c r="D73" s="63"/>
      <c r="E73" s="82"/>
      <c r="F73" s="83"/>
      <c r="G73" s="83"/>
      <c r="H73" s="83"/>
      <c r="I73" s="83"/>
      <c r="J73" s="83"/>
      <c r="K73" s="83"/>
      <c r="L73" s="83"/>
      <c r="M73" s="83"/>
      <c r="N73" s="84"/>
    </row>
    <row r="74" spans="1:14" ht="33" customHeight="1">
      <c r="A74" s="107">
        <v>36</v>
      </c>
      <c r="B74" s="63" t="str">
        <f>IF('0 AVAL'!B71 = "", "", '0 AVAL'!B71)</f>
        <v/>
      </c>
      <c r="C74" s="63" t="str">
        <f>IF('0 AVAL'!C71 = "", "", '0 AVAL'!C71)</f>
        <v/>
      </c>
      <c r="D74" s="63"/>
      <c r="E74" s="271"/>
      <c r="F74" s="272"/>
      <c r="G74" s="272"/>
      <c r="H74" s="272"/>
      <c r="I74" s="272"/>
      <c r="J74" s="272"/>
      <c r="K74" s="272"/>
      <c r="L74" s="272"/>
      <c r="M74" s="272"/>
      <c r="N74" s="273"/>
    </row>
    <row r="75" spans="1:14" ht="33" customHeight="1">
      <c r="A75" s="107">
        <v>37</v>
      </c>
      <c r="B75" s="63" t="str">
        <f>IF('0 AVAL'!B72 = "", "", '0 AVAL'!B72)</f>
        <v/>
      </c>
      <c r="C75" s="63" t="str">
        <f>IF('0 AVAL'!C72 = "", "", '0 AVAL'!C72)</f>
        <v/>
      </c>
      <c r="D75" s="63"/>
      <c r="E75" s="271"/>
      <c r="F75" s="272"/>
      <c r="G75" s="272"/>
      <c r="H75" s="272"/>
      <c r="I75" s="272"/>
      <c r="J75" s="272"/>
      <c r="K75" s="272"/>
      <c r="L75" s="272"/>
      <c r="M75" s="272"/>
      <c r="N75" s="273"/>
    </row>
    <row r="76" spans="1:14" ht="33" customHeight="1">
      <c r="A76" s="107">
        <v>38</v>
      </c>
      <c r="B76" s="63" t="str">
        <f>IF('0 AVAL'!B73 = "", "", '0 AVAL'!B73)</f>
        <v/>
      </c>
      <c r="C76" s="63" t="str">
        <f>IF('0 AVAL'!C73 = "", "", '0 AVAL'!C73)</f>
        <v/>
      </c>
      <c r="D76" s="63"/>
      <c r="E76" s="271"/>
      <c r="F76" s="272"/>
      <c r="G76" s="272"/>
      <c r="H76" s="272"/>
      <c r="I76" s="272"/>
      <c r="J76" s="272"/>
      <c r="K76" s="272"/>
      <c r="L76" s="272"/>
      <c r="M76" s="272"/>
      <c r="N76" s="273"/>
    </row>
    <row r="77" spans="1:14" ht="33" customHeight="1">
      <c r="A77" s="107">
        <v>39</v>
      </c>
      <c r="B77" s="63" t="str">
        <f>IF('0 AVAL'!B74 = "", "", '0 AVAL'!B74)</f>
        <v/>
      </c>
      <c r="C77" s="63" t="str">
        <f>IF('0 AVAL'!C74 = "", "", '0 AVAL'!C74)</f>
        <v/>
      </c>
      <c r="D77" s="63"/>
      <c r="E77" s="271"/>
      <c r="F77" s="272"/>
      <c r="G77" s="272"/>
      <c r="H77" s="272"/>
      <c r="I77" s="272"/>
      <c r="J77" s="272"/>
      <c r="K77" s="272"/>
      <c r="L77" s="272"/>
      <c r="M77" s="272"/>
      <c r="N77" s="273"/>
    </row>
    <row r="78" spans="1:14" ht="33" customHeight="1">
      <c r="A78" s="107">
        <v>40</v>
      </c>
      <c r="B78" s="63" t="str">
        <f>IF('0 AVAL'!B75 = "", "", '0 AVAL'!B75)</f>
        <v/>
      </c>
      <c r="C78" s="63" t="str">
        <f>IF('0 AVAL'!C75 = "", "", '0 AVAL'!C75)</f>
        <v/>
      </c>
      <c r="D78" s="63"/>
      <c r="E78" s="271"/>
      <c r="F78" s="272"/>
      <c r="G78" s="272"/>
      <c r="H78" s="272"/>
      <c r="I78" s="272"/>
      <c r="J78" s="272"/>
      <c r="K78" s="272"/>
      <c r="L78" s="272"/>
      <c r="M78" s="272"/>
      <c r="N78" s="273"/>
    </row>
    <row r="79" spans="1:14" ht="27" customHeight="1"/>
    <row r="80" spans="1:14" s="93" customFormat="1" ht="21">
      <c r="B80" s="268" t="s">
        <v>82</v>
      </c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70"/>
    </row>
    <row r="81" spans="1:14">
      <c r="B81" s="2"/>
      <c r="C81" s="2"/>
      <c r="D81" s="2"/>
      <c r="E81" s="2"/>
      <c r="F81" s="2"/>
      <c r="G81" s="2"/>
      <c r="H81" s="2"/>
      <c r="I81" s="2"/>
      <c r="J81" s="85" t="s">
        <v>83</v>
      </c>
      <c r="K81" s="309" t="s">
        <v>84</v>
      </c>
      <c r="L81" s="309"/>
      <c r="M81" s="309"/>
      <c r="N81" s="309"/>
    </row>
    <row r="82" spans="1:14">
      <c r="A82" s="108">
        <v>1</v>
      </c>
      <c r="B82" s="278" t="s">
        <v>16</v>
      </c>
      <c r="C82" s="278"/>
      <c r="D82" s="278"/>
      <c r="E82" s="278"/>
      <c r="F82" s="278"/>
      <c r="G82" s="278"/>
      <c r="H82" s="278"/>
      <c r="I82" s="278"/>
      <c r="J82" s="87"/>
      <c r="K82" s="279"/>
      <c r="L82" s="279"/>
      <c r="M82" s="279"/>
      <c r="N82" s="279"/>
    </row>
    <row r="83" spans="1:14">
      <c r="A83" s="108">
        <v>2</v>
      </c>
      <c r="B83" s="280" t="s">
        <v>16</v>
      </c>
      <c r="C83" s="280"/>
      <c r="D83" s="280"/>
      <c r="E83" s="280"/>
      <c r="F83" s="280"/>
      <c r="G83" s="280"/>
      <c r="H83" s="280"/>
      <c r="I83" s="280"/>
      <c r="J83" s="87"/>
      <c r="K83" s="279"/>
      <c r="L83" s="279"/>
      <c r="M83" s="279"/>
      <c r="N83" s="279"/>
    </row>
    <row r="84" spans="1:14">
      <c r="A84" s="108">
        <v>3</v>
      </c>
      <c r="B84" s="280" t="s">
        <v>16</v>
      </c>
      <c r="C84" s="280"/>
      <c r="D84" s="280"/>
      <c r="E84" s="280"/>
      <c r="F84" s="280"/>
      <c r="G84" s="280"/>
      <c r="H84" s="280"/>
      <c r="I84" s="280"/>
      <c r="J84" s="87"/>
      <c r="K84" s="279"/>
      <c r="L84" s="279"/>
      <c r="M84" s="279"/>
      <c r="N84" s="279"/>
    </row>
    <row r="85" spans="1:14">
      <c r="A85" s="108">
        <v>4</v>
      </c>
      <c r="B85" s="280" t="s">
        <v>16</v>
      </c>
      <c r="C85" s="280"/>
      <c r="D85" s="280"/>
      <c r="E85" s="280"/>
      <c r="F85" s="280"/>
      <c r="G85" s="280"/>
      <c r="H85" s="280"/>
      <c r="I85" s="280"/>
      <c r="J85" s="87"/>
      <c r="K85" s="279"/>
      <c r="L85" s="279"/>
      <c r="M85" s="279"/>
      <c r="N85" s="279"/>
    </row>
    <row r="86" spans="1:14">
      <c r="A86" s="108">
        <v>5</v>
      </c>
      <c r="B86" s="280" t="s">
        <v>16</v>
      </c>
      <c r="C86" s="280"/>
      <c r="D86" s="280"/>
      <c r="E86" s="280"/>
      <c r="F86" s="280"/>
      <c r="G86" s="280"/>
      <c r="H86" s="280"/>
      <c r="I86" s="280"/>
      <c r="J86" s="87"/>
      <c r="K86" s="279"/>
      <c r="L86" s="279"/>
      <c r="M86" s="279"/>
      <c r="N86" s="279"/>
    </row>
    <row r="87" spans="1:14">
      <c r="A87" s="108">
        <v>6</v>
      </c>
      <c r="B87" s="280" t="s">
        <v>16</v>
      </c>
      <c r="C87" s="280"/>
      <c r="D87" s="280"/>
      <c r="E87" s="280"/>
      <c r="F87" s="280"/>
      <c r="G87" s="280"/>
      <c r="H87" s="280"/>
      <c r="I87" s="280"/>
      <c r="J87" s="87"/>
      <c r="K87" s="279"/>
      <c r="L87" s="279"/>
      <c r="M87" s="279"/>
      <c r="N87" s="279"/>
    </row>
    <row r="88" spans="1:14" ht="16.149999999999999" thickBot="1">
      <c r="A88" s="108">
        <v>7</v>
      </c>
      <c r="B88" s="285" t="s">
        <v>16</v>
      </c>
      <c r="C88" s="285"/>
      <c r="D88" s="285"/>
      <c r="E88" s="285"/>
      <c r="F88" s="285"/>
      <c r="G88" s="285"/>
      <c r="H88" s="285"/>
      <c r="I88" s="285"/>
      <c r="J88" s="88"/>
      <c r="K88" s="286"/>
      <c r="L88" s="286"/>
      <c r="M88" s="286"/>
      <c r="N88" s="286"/>
    </row>
    <row r="89" spans="1:14" ht="27" customHeight="1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</row>
    <row r="90" spans="1:14" s="93" customFormat="1" ht="21">
      <c r="B90" s="268" t="s">
        <v>85</v>
      </c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70"/>
    </row>
    <row r="91" spans="1:14"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</row>
    <row r="92" spans="1:14" s="89" customFormat="1" ht="30.75" customHeight="1">
      <c r="A92" s="110">
        <v>1</v>
      </c>
      <c r="B92" s="281" t="str">
        <f>IF(ACORDS!E25 = "", "", ACORDS!E25)</f>
        <v/>
      </c>
      <c r="C92" s="281"/>
      <c r="D92" s="281"/>
      <c r="E92" s="281"/>
      <c r="F92" s="281"/>
      <c r="G92" s="281"/>
      <c r="H92" s="281"/>
      <c r="I92" s="281"/>
      <c r="J92" s="287" t="s">
        <v>70</v>
      </c>
      <c r="K92" s="288"/>
      <c r="L92" s="288"/>
      <c r="M92" s="288"/>
      <c r="N92" s="289"/>
    </row>
    <row r="93" spans="1:14" s="89" customFormat="1" ht="30.75" customHeight="1">
      <c r="A93" s="110">
        <v>2</v>
      </c>
      <c r="B93" s="281" t="str">
        <f>IF(ACORDS!E26 = "", "", ACORDS!E26)</f>
        <v/>
      </c>
      <c r="C93" s="281"/>
      <c r="D93" s="281"/>
      <c r="E93" s="281"/>
      <c r="F93" s="281"/>
      <c r="G93" s="281"/>
      <c r="H93" s="281"/>
      <c r="I93" s="281"/>
      <c r="J93" s="290"/>
      <c r="K93" s="291"/>
      <c r="L93" s="291"/>
      <c r="M93" s="291"/>
      <c r="N93" s="292"/>
    </row>
    <row r="94" spans="1:14" s="89" customFormat="1" ht="30.75" customHeight="1">
      <c r="A94" s="110">
        <v>3</v>
      </c>
      <c r="B94" s="281" t="str">
        <f>IF(ACORDS!E27 = "", "", ACORDS!E27)</f>
        <v/>
      </c>
      <c r="C94" s="281"/>
      <c r="D94" s="281"/>
      <c r="E94" s="281"/>
      <c r="F94" s="281"/>
      <c r="G94" s="281"/>
      <c r="H94" s="281"/>
      <c r="I94" s="281"/>
      <c r="J94" s="290"/>
      <c r="K94" s="291"/>
      <c r="L94" s="291"/>
      <c r="M94" s="291"/>
      <c r="N94" s="292"/>
    </row>
    <row r="95" spans="1:14" s="89" customFormat="1" ht="30.75" customHeight="1">
      <c r="A95" s="110">
        <v>4</v>
      </c>
      <c r="B95" s="281" t="str">
        <f>IF(ACORDS!E28 = "", "", ACORDS!E28)</f>
        <v/>
      </c>
      <c r="C95" s="281"/>
      <c r="D95" s="281"/>
      <c r="E95" s="281"/>
      <c r="F95" s="281"/>
      <c r="G95" s="281"/>
      <c r="H95" s="281"/>
      <c r="I95" s="281"/>
      <c r="J95" s="290"/>
      <c r="K95" s="291"/>
      <c r="L95" s="291"/>
      <c r="M95" s="291"/>
      <c r="N95" s="292"/>
    </row>
    <row r="96" spans="1:14" s="89" customFormat="1" ht="30.75" customHeight="1">
      <c r="A96" s="110">
        <v>5</v>
      </c>
      <c r="B96" s="281" t="str">
        <f>IF(ACORDS!E29 = "", "", ACORDS!E29)</f>
        <v/>
      </c>
      <c r="C96" s="281"/>
      <c r="D96" s="281"/>
      <c r="E96" s="281"/>
      <c r="F96" s="281"/>
      <c r="G96" s="281"/>
      <c r="H96" s="281"/>
      <c r="I96" s="281"/>
      <c r="J96" s="290"/>
      <c r="K96" s="291"/>
      <c r="L96" s="291"/>
      <c r="M96" s="291"/>
      <c r="N96" s="292"/>
    </row>
    <row r="97" spans="1:14" s="89" customFormat="1" ht="30.75" customHeight="1">
      <c r="A97" s="110">
        <v>6</v>
      </c>
      <c r="B97" s="281" t="str">
        <f>IF(ACORDS!E30 = "", "", ACORDS!E30)</f>
        <v/>
      </c>
      <c r="C97" s="281"/>
      <c r="D97" s="281"/>
      <c r="E97" s="281"/>
      <c r="F97" s="281"/>
      <c r="G97" s="281"/>
      <c r="H97" s="281"/>
      <c r="I97" s="281"/>
      <c r="J97" s="290"/>
      <c r="K97" s="291"/>
      <c r="L97" s="291"/>
      <c r="M97" s="291"/>
      <c r="N97" s="292"/>
    </row>
    <row r="98" spans="1:14" s="89" customFormat="1" ht="30.75" customHeight="1" thickBot="1">
      <c r="A98" s="110">
        <v>7</v>
      </c>
      <c r="B98" s="281" t="str">
        <f>IF(ACORDS!E31 = "", "", ACORDS!E31)</f>
        <v/>
      </c>
      <c r="C98" s="281"/>
      <c r="D98" s="281"/>
      <c r="E98" s="281"/>
      <c r="F98" s="281"/>
      <c r="G98" s="281"/>
      <c r="H98" s="281"/>
      <c r="I98" s="281"/>
      <c r="J98" s="293"/>
      <c r="K98" s="294"/>
      <c r="L98" s="294"/>
      <c r="M98" s="294"/>
      <c r="N98" s="295"/>
    </row>
    <row r="99" spans="1:14">
      <c r="B99" s="282" t="s">
        <v>71</v>
      </c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</row>
    <row r="100" spans="1:14">
      <c r="B100" s="284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</row>
  </sheetData>
  <mergeCells count="91">
    <mergeCell ref="B99:N100"/>
    <mergeCell ref="B90:N90"/>
    <mergeCell ref="B92:I92"/>
    <mergeCell ref="J92:N98"/>
    <mergeCell ref="B93:I93"/>
    <mergeCell ref="B94:I94"/>
    <mergeCell ref="B95:I95"/>
    <mergeCell ref="B96:I96"/>
    <mergeCell ref="B97:I97"/>
    <mergeCell ref="B98:I98"/>
    <mergeCell ref="B86:I86"/>
    <mergeCell ref="K86:N86"/>
    <mergeCell ref="B87:I87"/>
    <mergeCell ref="K87:N87"/>
    <mergeCell ref="B88:I88"/>
    <mergeCell ref="K88:N88"/>
    <mergeCell ref="B83:I83"/>
    <mergeCell ref="K83:N83"/>
    <mergeCell ref="B84:I84"/>
    <mergeCell ref="K84:N84"/>
    <mergeCell ref="B85:I85"/>
    <mergeCell ref="K85:N85"/>
    <mergeCell ref="E77:N77"/>
    <mergeCell ref="E78:N78"/>
    <mergeCell ref="B80:N80"/>
    <mergeCell ref="K81:N81"/>
    <mergeCell ref="B82:I82"/>
    <mergeCell ref="K82:N82"/>
    <mergeCell ref="E76:N76"/>
    <mergeCell ref="E60:N60"/>
    <mergeCell ref="E61:N61"/>
    <mergeCell ref="E62:N62"/>
    <mergeCell ref="E63:N63"/>
    <mergeCell ref="E64:N64"/>
    <mergeCell ref="E65:N65"/>
    <mergeCell ref="E66:N66"/>
    <mergeCell ref="E67:N67"/>
    <mergeCell ref="E68:N68"/>
    <mergeCell ref="E74:N74"/>
    <mergeCell ref="E75:N75"/>
    <mergeCell ref="E59:N59"/>
    <mergeCell ref="E48:N48"/>
    <mergeCell ref="E49:N49"/>
    <mergeCell ref="E50:N50"/>
    <mergeCell ref="E51:N51"/>
    <mergeCell ref="E52:N52"/>
    <mergeCell ref="E53:N53"/>
    <mergeCell ref="E54:N54"/>
    <mergeCell ref="E55:N55"/>
    <mergeCell ref="E56:N56"/>
    <mergeCell ref="E57:N57"/>
    <mergeCell ref="E58:N58"/>
    <mergeCell ref="E47:N47"/>
    <mergeCell ref="C33:M34"/>
    <mergeCell ref="B36:N36"/>
    <mergeCell ref="E38:N38"/>
    <mergeCell ref="E39:N39"/>
    <mergeCell ref="E40:N40"/>
    <mergeCell ref="E41:N41"/>
    <mergeCell ref="E42:N42"/>
    <mergeCell ref="E43:N43"/>
    <mergeCell ref="E44:N44"/>
    <mergeCell ref="E45:N45"/>
    <mergeCell ref="E46:N46"/>
    <mergeCell ref="B31:C31"/>
    <mergeCell ref="G31:K32"/>
    <mergeCell ref="B17:N17"/>
    <mergeCell ref="B18:N18"/>
    <mergeCell ref="B20:N20"/>
    <mergeCell ref="B22:M22"/>
    <mergeCell ref="B24:N24"/>
    <mergeCell ref="B26:C26"/>
    <mergeCell ref="B27:C27"/>
    <mergeCell ref="B28:C28"/>
    <mergeCell ref="G28:K29"/>
    <mergeCell ref="B29:C29"/>
    <mergeCell ref="B30:C30"/>
    <mergeCell ref="B15:N15"/>
    <mergeCell ref="B2:C6"/>
    <mergeCell ref="D2:F6"/>
    <mergeCell ref="G2:G6"/>
    <mergeCell ref="J2:N2"/>
    <mergeCell ref="J3:M3"/>
    <mergeCell ref="J4:M4"/>
    <mergeCell ref="J5:M5"/>
    <mergeCell ref="J6:M6"/>
    <mergeCell ref="J7:M7"/>
    <mergeCell ref="B9:N9"/>
    <mergeCell ref="B11:N11"/>
    <mergeCell ref="B12:N12"/>
    <mergeCell ref="B14:N14"/>
  </mergeCells>
  <conditionalFormatting sqref="J82:J88">
    <cfRule type="containsText" dxfId="29" priority="1" operator="containsText" text="No">
      <formula>NOT(ISERROR(SEARCH("No",J82)))</formula>
    </cfRule>
    <cfRule type="containsText" dxfId="28" priority="2" operator="containsText" text="Procés">
      <formula>NOT(ISERROR(SEARCH("Procés",J82)))</formula>
    </cfRule>
    <cfRule type="containsText" dxfId="27" priority="3" operator="containsText" text="Fet">
      <formula>NOT(ISERROR(SEARCH("Fet",J82)))</formula>
    </cfRule>
  </conditionalFormatting>
  <dataValidations count="2">
    <dataValidation allowBlank="1" showInputMessage="1" showErrorMessage="1" sqref="J6:M6" xr:uid="{215F9D6D-45E7-4B22-96AF-5D6DDD2F41C4}"/>
    <dataValidation type="date" allowBlank="1" showInputMessage="1" showErrorMessage="1" sqref="J7:M7" xr:uid="{BA491D74-2AE6-47C2-B905-B25E72A6B2DF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C102-9A87-4194-A6EE-D0DC7A58B911}">
  <dimension ref="A1:GA63"/>
  <sheetViews>
    <sheetView workbookViewId="0">
      <selection activeCell="C14" sqref="C14"/>
    </sheetView>
  </sheetViews>
  <sheetFormatPr baseColWidth="10" defaultColWidth="0" defaultRowHeight="15.75" zeroHeight="1"/>
  <cols>
    <col min="1" max="1" width="4.73046875" style="1" customWidth="1"/>
    <col min="2" max="2" width="17.3984375" style="1" customWidth="1"/>
    <col min="3" max="3" width="41.59765625" style="1" customWidth="1"/>
    <col min="4" max="6" width="12.59765625" style="1" customWidth="1"/>
    <col min="7" max="7" width="21.73046875" style="1" customWidth="1"/>
    <col min="8" max="9" width="12.59765625" style="1" customWidth="1"/>
    <col min="10" max="10" width="11.1328125" style="1" customWidth="1"/>
    <col min="11" max="11" width="18" style="1" customWidth="1"/>
    <col min="12" max="16" width="12.59765625" style="1" customWidth="1"/>
    <col min="17" max="17" width="9.1328125" style="1" customWidth="1"/>
    <col min="18" max="18" width="4.265625" style="1" customWidth="1"/>
    <col min="19" max="24" width="9.1328125" style="1" hidden="1" customWidth="1"/>
    <col min="25" max="183" width="4.3984375" style="1" hidden="1" customWidth="1"/>
    <col min="184" max="16384" width="0" style="1" hidden="1"/>
  </cols>
  <sheetData>
    <row r="1" spans="1:17" ht="15.75" customHeight="1">
      <c r="A1" s="29"/>
      <c r="B1" s="29"/>
      <c r="C1" s="29"/>
      <c r="D1" s="29"/>
      <c r="E1" s="29"/>
      <c r="F1" s="29"/>
      <c r="G1" s="29"/>
      <c r="H1" s="29"/>
      <c r="I1" s="29"/>
      <c r="J1" s="30" t="s">
        <v>0</v>
      </c>
      <c r="K1" s="30"/>
      <c r="L1" s="30"/>
      <c r="M1" s="30"/>
      <c r="N1" s="31"/>
      <c r="O1" s="30"/>
    </row>
    <row r="2" spans="1:17" ht="15.75" customHeight="1">
      <c r="A2" s="29"/>
      <c r="B2" s="197" t="e" vm="1">
        <v>#VALUE!</v>
      </c>
      <c r="C2" s="197"/>
      <c r="D2" s="197" t="e" vm="2">
        <v>#VALUE!</v>
      </c>
      <c r="E2" s="197"/>
      <c r="F2" s="197"/>
      <c r="G2" s="197"/>
      <c r="H2" s="197"/>
      <c r="I2" s="197"/>
    </row>
    <row r="3" spans="1:17" ht="15.75" customHeight="1">
      <c r="A3" s="29"/>
      <c r="B3" s="197"/>
      <c r="C3" s="197"/>
      <c r="D3" s="197"/>
      <c r="E3" s="197"/>
      <c r="F3" s="197"/>
      <c r="G3" s="197"/>
      <c r="H3" s="197"/>
      <c r="I3" s="197"/>
      <c r="J3" s="317" t="s">
        <v>1</v>
      </c>
      <c r="K3" s="317"/>
      <c r="L3" s="198" t="str">
        <f>IF(INDEX!G3 = "", "", INDEX!G3)</f>
        <v/>
      </c>
      <c r="M3" s="198"/>
      <c r="N3" s="198"/>
      <c r="O3" s="198"/>
    </row>
    <row r="4" spans="1:17" ht="15.75" customHeight="1">
      <c r="A4" s="29"/>
      <c r="B4" s="197"/>
      <c r="C4" s="197"/>
      <c r="D4" s="197"/>
      <c r="E4" s="197"/>
      <c r="F4" s="197"/>
      <c r="G4" s="197"/>
      <c r="H4" s="197"/>
      <c r="I4" s="197"/>
      <c r="J4" s="317" t="s">
        <v>2</v>
      </c>
      <c r="K4" s="317"/>
      <c r="L4" s="198" t="str">
        <f>IF(INDEX!G4 = "", "", INDEX!G4)</f>
        <v/>
      </c>
      <c r="M4" s="198"/>
      <c r="N4" s="198"/>
      <c r="O4" s="198"/>
    </row>
    <row r="5" spans="1:17" ht="15.75" customHeight="1" thickBot="1">
      <c r="A5" s="29"/>
      <c r="B5" s="197"/>
      <c r="C5" s="197"/>
      <c r="D5" s="197"/>
      <c r="E5" s="197"/>
      <c r="F5" s="197"/>
      <c r="G5" s="197"/>
      <c r="H5" s="197"/>
      <c r="I5" s="197"/>
      <c r="J5" s="318" t="s">
        <v>3</v>
      </c>
      <c r="K5" s="318"/>
      <c r="L5" s="199" t="str">
        <f>INDEX!G5</f>
        <v>2025-2026</v>
      </c>
      <c r="M5" s="199"/>
      <c r="N5" s="199"/>
      <c r="O5" s="199"/>
    </row>
    <row r="6" spans="1:17" ht="15.75" customHeight="1" thickBot="1">
      <c r="A6" s="29"/>
      <c r="B6" s="197"/>
      <c r="C6" s="197"/>
      <c r="D6" s="197"/>
      <c r="E6" s="197"/>
      <c r="F6" s="197"/>
      <c r="G6" s="197"/>
      <c r="H6" s="197"/>
      <c r="I6" s="197"/>
      <c r="J6" s="314" t="s">
        <v>95</v>
      </c>
      <c r="K6" s="314"/>
      <c r="L6" s="199" t="s">
        <v>96</v>
      </c>
      <c r="M6" s="199"/>
      <c r="N6" s="199"/>
      <c r="O6" s="199"/>
    </row>
    <row r="7" spans="1:17">
      <c r="A7" s="29"/>
      <c r="B7" s="29"/>
      <c r="C7" s="29"/>
      <c r="D7" s="32"/>
      <c r="E7" s="32"/>
      <c r="F7" s="32"/>
      <c r="G7" s="32"/>
      <c r="H7" s="32"/>
      <c r="I7" s="32"/>
      <c r="J7" s="315" t="s">
        <v>97</v>
      </c>
      <c r="K7" s="315"/>
      <c r="L7" s="249"/>
      <c r="M7" s="249"/>
      <c r="N7" s="249"/>
      <c r="O7" s="249"/>
    </row>
    <row r="8" spans="1:17" ht="27" customHeight="1"/>
    <row r="9" spans="1:17" s="37" customFormat="1" ht="21">
      <c r="B9" s="268" t="s">
        <v>98</v>
      </c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70"/>
    </row>
    <row r="10" spans="1:17">
      <c r="F10" s="75"/>
    </row>
    <row r="11" spans="1:17" s="6" customFormat="1" ht="36.75" customHeight="1">
      <c r="B11" s="111" t="s">
        <v>55</v>
      </c>
      <c r="C11" s="111" t="s">
        <v>56</v>
      </c>
      <c r="D11" s="111" t="s">
        <v>93</v>
      </c>
      <c r="E11" s="111" t="s">
        <v>99</v>
      </c>
      <c r="F11" s="111" t="s">
        <v>100</v>
      </c>
      <c r="G11" s="111" t="s">
        <v>101</v>
      </c>
      <c r="H11" s="316" t="s">
        <v>102</v>
      </c>
      <c r="I11" s="316"/>
      <c r="J11" s="112" t="s">
        <v>103</v>
      </c>
      <c r="K11" s="112" t="s">
        <v>104</v>
      </c>
      <c r="L11" s="111" t="s">
        <v>105</v>
      </c>
      <c r="M11" s="111" t="s">
        <v>106</v>
      </c>
      <c r="N11" s="111" t="s">
        <v>107</v>
      </c>
      <c r="O11" s="316" t="s">
        <v>84</v>
      </c>
      <c r="P11" s="316"/>
      <c r="Q11" s="316"/>
    </row>
    <row r="12" spans="1:17" ht="33" customHeight="1">
      <c r="A12" s="6">
        <v>1</v>
      </c>
      <c r="B12" s="63" t="str">
        <f>IF('0 AVAL'!B36 = "", "", '0 AVAL'!B36)</f>
        <v/>
      </c>
      <c r="C12" s="63" t="str">
        <f>IF('0 AVAL'!C36 = "", "", '0 AVAL'!C36)</f>
        <v/>
      </c>
      <c r="D12" s="63"/>
      <c r="E12" s="113"/>
      <c r="F12" s="114" t="s">
        <v>108</v>
      </c>
      <c r="G12" s="114" t="s">
        <v>108</v>
      </c>
      <c r="H12" s="310"/>
      <c r="I12" s="310"/>
      <c r="J12" s="114" t="s">
        <v>108</v>
      </c>
      <c r="K12" s="115"/>
      <c r="L12" s="114"/>
      <c r="M12" s="114" t="s">
        <v>108</v>
      </c>
      <c r="N12" s="114" t="s">
        <v>108</v>
      </c>
      <c r="O12" s="311"/>
      <c r="P12" s="312"/>
      <c r="Q12" s="313"/>
    </row>
    <row r="13" spans="1:17" ht="33" customHeight="1">
      <c r="A13" s="6">
        <v>2</v>
      </c>
      <c r="B13" s="63" t="str">
        <f>IF('0 AVAL'!B37 = "", "", '0 AVAL'!B37)</f>
        <v/>
      </c>
      <c r="C13" s="63" t="str">
        <f>IF('0 AVAL'!C37 = "", "", '0 AVAL'!C37)</f>
        <v/>
      </c>
      <c r="D13" s="63"/>
      <c r="E13" s="113"/>
      <c r="F13" s="114" t="s">
        <v>108</v>
      </c>
      <c r="G13" s="114" t="s">
        <v>108</v>
      </c>
      <c r="H13" s="310"/>
      <c r="I13" s="310"/>
      <c r="J13" s="114" t="s">
        <v>108</v>
      </c>
      <c r="K13" s="115"/>
      <c r="L13" s="114"/>
      <c r="M13" s="114" t="s">
        <v>108</v>
      </c>
      <c r="N13" s="114" t="s">
        <v>108</v>
      </c>
      <c r="O13" s="311"/>
      <c r="P13" s="312"/>
      <c r="Q13" s="313"/>
    </row>
    <row r="14" spans="1:17" ht="33" customHeight="1">
      <c r="A14" s="6">
        <v>3</v>
      </c>
      <c r="B14" s="63" t="str">
        <f>IF('0 AVAL'!B38 = "", "", '0 AVAL'!B38)</f>
        <v/>
      </c>
      <c r="C14" s="63" t="str">
        <f>IF('0 AVAL'!C38 = "", "", '0 AVAL'!C38)</f>
        <v/>
      </c>
      <c r="D14" s="63"/>
      <c r="E14" s="113"/>
      <c r="F14" s="114" t="s">
        <v>108</v>
      </c>
      <c r="G14" s="114" t="s">
        <v>108</v>
      </c>
      <c r="H14" s="310"/>
      <c r="I14" s="310"/>
      <c r="J14" s="114" t="s">
        <v>108</v>
      </c>
      <c r="K14" s="115"/>
      <c r="L14" s="114"/>
      <c r="M14" s="114" t="s">
        <v>108</v>
      </c>
      <c r="N14" s="114" t="s">
        <v>108</v>
      </c>
      <c r="O14" s="311"/>
      <c r="P14" s="312"/>
      <c r="Q14" s="313"/>
    </row>
    <row r="15" spans="1:17" ht="33" customHeight="1">
      <c r="A15" s="6">
        <v>4</v>
      </c>
      <c r="B15" s="63" t="str">
        <f>IF('0 AVAL'!B39 = "", "", '0 AVAL'!B39)</f>
        <v/>
      </c>
      <c r="C15" s="63" t="str">
        <f>IF('0 AVAL'!C39 = "", "", '0 AVAL'!C39)</f>
        <v/>
      </c>
      <c r="D15" s="63"/>
      <c r="E15" s="113"/>
      <c r="F15" s="114" t="s">
        <v>108</v>
      </c>
      <c r="G15" s="114" t="s">
        <v>108</v>
      </c>
      <c r="H15" s="310"/>
      <c r="I15" s="310"/>
      <c r="J15" s="114" t="s">
        <v>108</v>
      </c>
      <c r="K15" s="115"/>
      <c r="L15" s="114"/>
      <c r="M15" s="114" t="s">
        <v>108</v>
      </c>
      <c r="N15" s="114" t="s">
        <v>108</v>
      </c>
      <c r="O15" s="311"/>
      <c r="P15" s="312"/>
      <c r="Q15" s="313"/>
    </row>
    <row r="16" spans="1:17" ht="33" customHeight="1">
      <c r="A16" s="6">
        <v>5</v>
      </c>
      <c r="B16" s="63" t="str">
        <f>IF('0 AVAL'!B40 = "", "", '0 AVAL'!B40)</f>
        <v/>
      </c>
      <c r="C16" s="63" t="str">
        <f>IF('0 AVAL'!C40 = "", "", '0 AVAL'!C40)</f>
        <v/>
      </c>
      <c r="D16" s="63"/>
      <c r="E16" s="113"/>
      <c r="F16" s="114" t="s">
        <v>108</v>
      </c>
      <c r="G16" s="114" t="s">
        <v>108</v>
      </c>
      <c r="H16" s="310"/>
      <c r="I16" s="310"/>
      <c r="J16" s="114" t="s">
        <v>108</v>
      </c>
      <c r="K16" s="115"/>
      <c r="L16" s="114"/>
      <c r="M16" s="114" t="s">
        <v>108</v>
      </c>
      <c r="N16" s="114" t="s">
        <v>108</v>
      </c>
      <c r="O16" s="311"/>
      <c r="P16" s="312"/>
      <c r="Q16" s="313"/>
    </row>
    <row r="17" spans="1:17" ht="33" customHeight="1">
      <c r="A17" s="6">
        <v>6</v>
      </c>
      <c r="B17" s="63" t="str">
        <f>IF('0 AVAL'!B41 = "", "", '0 AVAL'!B41)</f>
        <v/>
      </c>
      <c r="C17" s="63" t="str">
        <f>IF('0 AVAL'!C41 = "", "", '0 AVAL'!C41)</f>
        <v/>
      </c>
      <c r="D17" s="63"/>
      <c r="E17" s="113"/>
      <c r="F17" s="114" t="s">
        <v>108</v>
      </c>
      <c r="G17" s="114" t="s">
        <v>108</v>
      </c>
      <c r="H17" s="310"/>
      <c r="I17" s="310"/>
      <c r="J17" s="114" t="s">
        <v>108</v>
      </c>
      <c r="K17" s="115"/>
      <c r="L17" s="114"/>
      <c r="M17" s="114" t="s">
        <v>108</v>
      </c>
      <c r="N17" s="114" t="s">
        <v>108</v>
      </c>
      <c r="O17" s="311"/>
      <c r="P17" s="312"/>
      <c r="Q17" s="313"/>
    </row>
    <row r="18" spans="1:17" ht="33" customHeight="1">
      <c r="A18" s="6">
        <v>7</v>
      </c>
      <c r="B18" s="63" t="str">
        <f>IF('0 AVAL'!B42 = "", "", '0 AVAL'!B42)</f>
        <v/>
      </c>
      <c r="C18" s="63" t="str">
        <f>IF('0 AVAL'!C42 = "", "", '0 AVAL'!C42)</f>
        <v/>
      </c>
      <c r="D18" s="63"/>
      <c r="E18" s="113"/>
      <c r="F18" s="114" t="s">
        <v>108</v>
      </c>
      <c r="G18" s="114" t="s">
        <v>108</v>
      </c>
      <c r="H18" s="310"/>
      <c r="I18" s="310"/>
      <c r="J18" s="114" t="s">
        <v>108</v>
      </c>
      <c r="K18" s="115"/>
      <c r="L18" s="114"/>
      <c r="M18" s="114" t="s">
        <v>108</v>
      </c>
      <c r="N18" s="114" t="s">
        <v>108</v>
      </c>
      <c r="O18" s="311"/>
      <c r="P18" s="312"/>
      <c r="Q18" s="313"/>
    </row>
    <row r="19" spans="1:17" ht="33" customHeight="1">
      <c r="A19" s="6">
        <v>8</v>
      </c>
      <c r="B19" s="63" t="str">
        <f>IF('0 AVAL'!B43 = "", "", '0 AVAL'!B43)</f>
        <v/>
      </c>
      <c r="C19" s="63" t="str">
        <f>IF('0 AVAL'!C43 = "", "", '0 AVAL'!C43)</f>
        <v/>
      </c>
      <c r="D19" s="63"/>
      <c r="E19" s="113"/>
      <c r="F19" s="114" t="s">
        <v>108</v>
      </c>
      <c r="G19" s="114" t="s">
        <v>108</v>
      </c>
      <c r="H19" s="310"/>
      <c r="I19" s="310"/>
      <c r="J19" s="114" t="s">
        <v>108</v>
      </c>
      <c r="K19" s="115"/>
      <c r="L19" s="114"/>
      <c r="M19" s="114" t="s">
        <v>108</v>
      </c>
      <c r="N19" s="114" t="s">
        <v>108</v>
      </c>
      <c r="O19" s="311"/>
      <c r="P19" s="312"/>
      <c r="Q19" s="313"/>
    </row>
    <row r="20" spans="1:17" ht="33" customHeight="1">
      <c r="A20" s="6">
        <v>9</v>
      </c>
      <c r="B20" s="63" t="str">
        <f>IF('0 AVAL'!B44 = "", "", '0 AVAL'!B44)</f>
        <v/>
      </c>
      <c r="C20" s="63" t="str">
        <f>IF('0 AVAL'!C44 = "", "", '0 AVAL'!C44)</f>
        <v/>
      </c>
      <c r="D20" s="63"/>
      <c r="E20" s="113"/>
      <c r="F20" s="114" t="s">
        <v>108</v>
      </c>
      <c r="G20" s="114" t="s">
        <v>108</v>
      </c>
      <c r="H20" s="310"/>
      <c r="I20" s="310"/>
      <c r="J20" s="114" t="s">
        <v>108</v>
      </c>
      <c r="K20" s="115"/>
      <c r="L20" s="114"/>
      <c r="M20" s="114" t="s">
        <v>108</v>
      </c>
      <c r="N20" s="114" t="s">
        <v>108</v>
      </c>
      <c r="O20" s="311"/>
      <c r="P20" s="312"/>
      <c r="Q20" s="313"/>
    </row>
    <row r="21" spans="1:17" ht="33" customHeight="1">
      <c r="A21" s="6">
        <v>10</v>
      </c>
      <c r="B21" s="63" t="str">
        <f>IF('0 AVAL'!B45 = "", "", '0 AVAL'!B45)</f>
        <v/>
      </c>
      <c r="C21" s="63" t="str">
        <f>IF('0 AVAL'!C45 = "", "", '0 AVAL'!C45)</f>
        <v/>
      </c>
      <c r="D21" s="63"/>
      <c r="E21" s="113"/>
      <c r="F21" s="114" t="s">
        <v>108</v>
      </c>
      <c r="G21" s="114" t="s">
        <v>108</v>
      </c>
      <c r="H21" s="310"/>
      <c r="I21" s="310"/>
      <c r="J21" s="114" t="s">
        <v>108</v>
      </c>
      <c r="K21" s="115"/>
      <c r="L21" s="114"/>
      <c r="M21" s="114" t="s">
        <v>108</v>
      </c>
      <c r="N21" s="114" t="s">
        <v>108</v>
      </c>
      <c r="O21" s="311"/>
      <c r="P21" s="312"/>
      <c r="Q21" s="313"/>
    </row>
    <row r="22" spans="1:17" ht="33" customHeight="1">
      <c r="A22" s="6">
        <v>11</v>
      </c>
      <c r="B22" s="63" t="str">
        <f>IF('0 AVAL'!B46 = "", "", '0 AVAL'!B46)</f>
        <v/>
      </c>
      <c r="C22" s="63" t="str">
        <f>IF('0 AVAL'!C46 = "", "", '0 AVAL'!C46)</f>
        <v/>
      </c>
      <c r="D22" s="63"/>
      <c r="E22" s="113"/>
      <c r="F22" s="114" t="s">
        <v>108</v>
      </c>
      <c r="G22" s="114" t="s">
        <v>108</v>
      </c>
      <c r="H22" s="310"/>
      <c r="I22" s="310"/>
      <c r="J22" s="114" t="s">
        <v>108</v>
      </c>
      <c r="K22" s="115"/>
      <c r="L22" s="114"/>
      <c r="M22" s="114" t="s">
        <v>108</v>
      </c>
      <c r="N22" s="114" t="s">
        <v>108</v>
      </c>
      <c r="O22" s="311"/>
      <c r="P22" s="312"/>
      <c r="Q22" s="313"/>
    </row>
    <row r="23" spans="1:17" ht="33" customHeight="1">
      <c r="A23" s="6">
        <v>12</v>
      </c>
      <c r="B23" s="63" t="str">
        <f>IF('0 AVAL'!B47 = "", "", '0 AVAL'!B47)</f>
        <v/>
      </c>
      <c r="C23" s="63" t="str">
        <f>IF('0 AVAL'!C47 = "", "", '0 AVAL'!C47)</f>
        <v/>
      </c>
      <c r="D23" s="63"/>
      <c r="E23" s="113"/>
      <c r="F23" s="114" t="s">
        <v>108</v>
      </c>
      <c r="G23" s="114" t="s">
        <v>108</v>
      </c>
      <c r="H23" s="310"/>
      <c r="I23" s="310"/>
      <c r="J23" s="114" t="s">
        <v>108</v>
      </c>
      <c r="K23" s="115"/>
      <c r="L23" s="114"/>
      <c r="M23" s="114" t="s">
        <v>108</v>
      </c>
      <c r="N23" s="114" t="s">
        <v>108</v>
      </c>
      <c r="O23" s="311"/>
      <c r="P23" s="312"/>
      <c r="Q23" s="313"/>
    </row>
    <row r="24" spans="1:17" ht="33" customHeight="1">
      <c r="A24" s="6">
        <v>13</v>
      </c>
      <c r="B24" s="63" t="str">
        <f>IF('0 AVAL'!B48 = "", "", '0 AVAL'!B48)</f>
        <v/>
      </c>
      <c r="C24" s="63" t="str">
        <f>IF('0 AVAL'!C48 = "", "", '0 AVAL'!C48)</f>
        <v/>
      </c>
      <c r="D24" s="63"/>
      <c r="E24" s="113"/>
      <c r="F24" s="114" t="s">
        <v>108</v>
      </c>
      <c r="G24" s="114" t="s">
        <v>108</v>
      </c>
      <c r="H24" s="310"/>
      <c r="I24" s="310"/>
      <c r="J24" s="114" t="s">
        <v>108</v>
      </c>
      <c r="K24" s="115"/>
      <c r="L24" s="114"/>
      <c r="M24" s="114" t="s">
        <v>108</v>
      </c>
      <c r="N24" s="114" t="s">
        <v>108</v>
      </c>
      <c r="O24" s="311"/>
      <c r="P24" s="312"/>
      <c r="Q24" s="313"/>
    </row>
    <row r="25" spans="1:17" ht="33" customHeight="1">
      <c r="A25" s="6">
        <v>14</v>
      </c>
      <c r="B25" s="63" t="str">
        <f>IF('0 AVAL'!B49 = "", "", '0 AVAL'!B49)</f>
        <v/>
      </c>
      <c r="C25" s="63" t="str">
        <f>IF('0 AVAL'!C49 = "", "", '0 AVAL'!C49)</f>
        <v/>
      </c>
      <c r="D25" s="63"/>
      <c r="E25" s="113"/>
      <c r="F25" s="114" t="s">
        <v>108</v>
      </c>
      <c r="G25" s="114" t="s">
        <v>108</v>
      </c>
      <c r="H25" s="310"/>
      <c r="I25" s="310"/>
      <c r="J25" s="114" t="s">
        <v>108</v>
      </c>
      <c r="K25" s="115"/>
      <c r="L25" s="114"/>
      <c r="M25" s="114" t="s">
        <v>108</v>
      </c>
      <c r="N25" s="114" t="s">
        <v>108</v>
      </c>
      <c r="O25" s="311"/>
      <c r="P25" s="312"/>
      <c r="Q25" s="313"/>
    </row>
    <row r="26" spans="1:17" ht="33" customHeight="1">
      <c r="A26" s="6">
        <v>15</v>
      </c>
      <c r="B26" s="63" t="str">
        <f>IF('0 AVAL'!B50 = "", "", '0 AVAL'!B50)</f>
        <v/>
      </c>
      <c r="C26" s="63" t="str">
        <f>IF('0 AVAL'!C50 = "", "", '0 AVAL'!C50)</f>
        <v/>
      </c>
      <c r="D26" s="63"/>
      <c r="E26" s="113"/>
      <c r="F26" s="114" t="s">
        <v>108</v>
      </c>
      <c r="G26" s="114" t="s">
        <v>108</v>
      </c>
      <c r="H26" s="310"/>
      <c r="I26" s="310"/>
      <c r="J26" s="114" t="s">
        <v>108</v>
      </c>
      <c r="K26" s="115"/>
      <c r="L26" s="114"/>
      <c r="M26" s="114" t="s">
        <v>108</v>
      </c>
      <c r="N26" s="114" t="s">
        <v>108</v>
      </c>
      <c r="O26" s="311"/>
      <c r="P26" s="312"/>
      <c r="Q26" s="313"/>
    </row>
    <row r="27" spans="1:17" ht="33" customHeight="1">
      <c r="A27" s="6">
        <v>16</v>
      </c>
      <c r="B27" s="63" t="str">
        <f>IF('0 AVAL'!B51 = "", "", '0 AVAL'!B51)</f>
        <v/>
      </c>
      <c r="C27" s="63" t="str">
        <f>IF('0 AVAL'!C51 = "", "", '0 AVAL'!C51)</f>
        <v/>
      </c>
      <c r="D27" s="63"/>
      <c r="E27" s="113"/>
      <c r="F27" s="114" t="s">
        <v>108</v>
      </c>
      <c r="G27" s="114" t="s">
        <v>108</v>
      </c>
      <c r="H27" s="310"/>
      <c r="I27" s="310"/>
      <c r="J27" s="114" t="s">
        <v>108</v>
      </c>
      <c r="K27" s="115"/>
      <c r="L27" s="114"/>
      <c r="M27" s="114" t="s">
        <v>108</v>
      </c>
      <c r="N27" s="114" t="s">
        <v>108</v>
      </c>
      <c r="O27" s="311"/>
      <c r="P27" s="312"/>
      <c r="Q27" s="313"/>
    </row>
    <row r="28" spans="1:17" ht="33" customHeight="1">
      <c r="A28" s="6">
        <v>17</v>
      </c>
      <c r="B28" s="63" t="str">
        <f>IF('0 AVAL'!B52 = "", "", '0 AVAL'!B52)</f>
        <v/>
      </c>
      <c r="C28" s="63" t="str">
        <f>IF('0 AVAL'!C52 = "", "", '0 AVAL'!C52)</f>
        <v/>
      </c>
      <c r="D28" s="63"/>
      <c r="E28" s="113"/>
      <c r="F28" s="114" t="s">
        <v>108</v>
      </c>
      <c r="G28" s="114" t="s">
        <v>108</v>
      </c>
      <c r="H28" s="310"/>
      <c r="I28" s="310"/>
      <c r="J28" s="114" t="s">
        <v>108</v>
      </c>
      <c r="K28" s="115"/>
      <c r="L28" s="114"/>
      <c r="M28" s="114" t="s">
        <v>108</v>
      </c>
      <c r="N28" s="114" t="s">
        <v>108</v>
      </c>
      <c r="O28" s="311"/>
      <c r="P28" s="312"/>
      <c r="Q28" s="313"/>
    </row>
    <row r="29" spans="1:17" ht="33" customHeight="1">
      <c r="A29" s="6">
        <v>18</v>
      </c>
      <c r="B29" s="63" t="str">
        <f>IF('0 AVAL'!B53 = "", "", '0 AVAL'!B53)</f>
        <v/>
      </c>
      <c r="C29" s="63" t="str">
        <f>IF('0 AVAL'!C53 = "", "", '0 AVAL'!C53)</f>
        <v/>
      </c>
      <c r="D29" s="63"/>
      <c r="E29" s="113"/>
      <c r="F29" s="114" t="s">
        <v>108</v>
      </c>
      <c r="G29" s="114" t="s">
        <v>108</v>
      </c>
      <c r="H29" s="310"/>
      <c r="I29" s="310"/>
      <c r="J29" s="114" t="s">
        <v>108</v>
      </c>
      <c r="K29" s="115"/>
      <c r="L29" s="114"/>
      <c r="M29" s="114" t="s">
        <v>108</v>
      </c>
      <c r="N29" s="114" t="s">
        <v>108</v>
      </c>
      <c r="O29" s="311"/>
      <c r="P29" s="312"/>
      <c r="Q29" s="313"/>
    </row>
    <row r="30" spans="1:17" ht="33" customHeight="1">
      <c r="A30" s="6">
        <v>19</v>
      </c>
      <c r="B30" s="63" t="str">
        <f>IF('0 AVAL'!B54 = "", "", '0 AVAL'!B54)</f>
        <v/>
      </c>
      <c r="C30" s="63" t="str">
        <f>IF('0 AVAL'!C54 = "", "", '0 AVAL'!C54)</f>
        <v/>
      </c>
      <c r="D30" s="63"/>
      <c r="E30" s="113"/>
      <c r="F30" s="114" t="s">
        <v>108</v>
      </c>
      <c r="G30" s="114" t="s">
        <v>108</v>
      </c>
      <c r="H30" s="310"/>
      <c r="I30" s="310"/>
      <c r="J30" s="114" t="s">
        <v>108</v>
      </c>
      <c r="K30" s="115"/>
      <c r="L30" s="114"/>
      <c r="M30" s="114" t="s">
        <v>108</v>
      </c>
      <c r="N30" s="114" t="s">
        <v>108</v>
      </c>
      <c r="O30" s="311"/>
      <c r="P30" s="312"/>
      <c r="Q30" s="313"/>
    </row>
    <row r="31" spans="1:17" ht="33" customHeight="1">
      <c r="A31" s="6">
        <v>20</v>
      </c>
      <c r="B31" s="63" t="str">
        <f>IF('0 AVAL'!B55 = "", "", '0 AVAL'!B55)</f>
        <v/>
      </c>
      <c r="C31" s="63" t="str">
        <f>IF('0 AVAL'!C55 = "", "", '0 AVAL'!C55)</f>
        <v/>
      </c>
      <c r="D31" s="63"/>
      <c r="E31" s="113"/>
      <c r="F31" s="114" t="s">
        <v>108</v>
      </c>
      <c r="G31" s="114" t="s">
        <v>108</v>
      </c>
      <c r="H31" s="310"/>
      <c r="I31" s="310"/>
      <c r="J31" s="114" t="s">
        <v>108</v>
      </c>
      <c r="K31" s="115"/>
      <c r="L31" s="114"/>
      <c r="M31" s="114" t="s">
        <v>108</v>
      </c>
      <c r="N31" s="114" t="s">
        <v>108</v>
      </c>
      <c r="O31" s="311"/>
      <c r="P31" s="312"/>
      <c r="Q31" s="313"/>
    </row>
    <row r="32" spans="1:17" ht="33" customHeight="1">
      <c r="A32" s="6">
        <v>21</v>
      </c>
      <c r="B32" s="63" t="str">
        <f>IF('0 AVAL'!B56 = "", "", '0 AVAL'!B56)</f>
        <v/>
      </c>
      <c r="C32" s="63" t="str">
        <f>IF('0 AVAL'!C56 = "", "", '0 AVAL'!C56)</f>
        <v/>
      </c>
      <c r="D32" s="63"/>
      <c r="E32" s="113"/>
      <c r="F32" s="114" t="s">
        <v>108</v>
      </c>
      <c r="G32" s="114" t="s">
        <v>108</v>
      </c>
      <c r="H32" s="310"/>
      <c r="I32" s="310"/>
      <c r="J32" s="114" t="s">
        <v>108</v>
      </c>
      <c r="K32" s="115"/>
      <c r="L32" s="114"/>
      <c r="M32" s="114" t="s">
        <v>108</v>
      </c>
      <c r="N32" s="114" t="s">
        <v>108</v>
      </c>
      <c r="O32" s="311"/>
      <c r="P32" s="312"/>
      <c r="Q32" s="313"/>
    </row>
    <row r="33" spans="1:17" ht="33" customHeight="1">
      <c r="A33" s="6">
        <v>22</v>
      </c>
      <c r="B33" s="63" t="str">
        <f>IF('0 AVAL'!B57 = "", "", '0 AVAL'!B57)</f>
        <v/>
      </c>
      <c r="C33" s="63" t="str">
        <f>IF('0 AVAL'!C57 = "", "", '0 AVAL'!C57)</f>
        <v/>
      </c>
      <c r="D33" s="63"/>
      <c r="E33" s="113"/>
      <c r="F33" s="114" t="s">
        <v>108</v>
      </c>
      <c r="G33" s="114" t="s">
        <v>108</v>
      </c>
      <c r="H33" s="310"/>
      <c r="I33" s="310"/>
      <c r="J33" s="114" t="s">
        <v>108</v>
      </c>
      <c r="K33" s="115"/>
      <c r="L33" s="114"/>
      <c r="M33" s="114" t="s">
        <v>108</v>
      </c>
      <c r="N33" s="114" t="s">
        <v>108</v>
      </c>
      <c r="O33" s="311"/>
      <c r="P33" s="312"/>
      <c r="Q33" s="313"/>
    </row>
    <row r="34" spans="1:17" ht="33" customHeight="1">
      <c r="A34" s="6">
        <v>23</v>
      </c>
      <c r="B34" s="63" t="str">
        <f>IF('0 AVAL'!B58 = "", "", '0 AVAL'!B58)</f>
        <v/>
      </c>
      <c r="C34" s="63" t="str">
        <f>IF('0 AVAL'!C58 = "", "", '0 AVAL'!C58)</f>
        <v/>
      </c>
      <c r="D34" s="63"/>
      <c r="E34" s="113"/>
      <c r="F34" s="114" t="s">
        <v>108</v>
      </c>
      <c r="G34" s="114" t="s">
        <v>108</v>
      </c>
      <c r="H34" s="310"/>
      <c r="I34" s="310"/>
      <c r="J34" s="114" t="s">
        <v>108</v>
      </c>
      <c r="K34" s="115"/>
      <c r="L34" s="114"/>
      <c r="M34" s="114" t="s">
        <v>108</v>
      </c>
      <c r="N34" s="114" t="s">
        <v>108</v>
      </c>
      <c r="O34" s="311"/>
      <c r="P34" s="312"/>
      <c r="Q34" s="313"/>
    </row>
    <row r="35" spans="1:17" ht="33" customHeight="1">
      <c r="A35" s="6">
        <v>24</v>
      </c>
      <c r="B35" s="63" t="str">
        <f>IF('0 AVAL'!B59 = "", "", '0 AVAL'!B59)</f>
        <v/>
      </c>
      <c r="C35" s="63" t="str">
        <f>IF('0 AVAL'!C59 = "", "", '0 AVAL'!C59)</f>
        <v/>
      </c>
      <c r="D35" s="63"/>
      <c r="E35" s="113"/>
      <c r="F35" s="114" t="s">
        <v>108</v>
      </c>
      <c r="G35" s="114" t="s">
        <v>108</v>
      </c>
      <c r="H35" s="310"/>
      <c r="I35" s="310"/>
      <c r="J35" s="114" t="s">
        <v>108</v>
      </c>
      <c r="K35" s="115"/>
      <c r="L35" s="114"/>
      <c r="M35" s="114" t="s">
        <v>108</v>
      </c>
      <c r="N35" s="114" t="s">
        <v>108</v>
      </c>
      <c r="O35" s="311"/>
      <c r="P35" s="312"/>
      <c r="Q35" s="313"/>
    </row>
    <row r="36" spans="1:17" ht="33" customHeight="1">
      <c r="A36" s="6">
        <v>25</v>
      </c>
      <c r="B36" s="63" t="str">
        <f>IF('0 AVAL'!B60 = "", "", '0 AVAL'!B60)</f>
        <v/>
      </c>
      <c r="C36" s="63" t="str">
        <f>IF('0 AVAL'!C60 = "", "", '0 AVAL'!C60)</f>
        <v/>
      </c>
      <c r="D36" s="63"/>
      <c r="E36" s="113"/>
      <c r="F36" s="114" t="s">
        <v>108</v>
      </c>
      <c r="G36" s="114" t="s">
        <v>108</v>
      </c>
      <c r="H36" s="310"/>
      <c r="I36" s="310"/>
      <c r="J36" s="114" t="s">
        <v>108</v>
      </c>
      <c r="K36" s="115"/>
      <c r="L36" s="114"/>
      <c r="M36" s="114" t="s">
        <v>108</v>
      </c>
      <c r="N36" s="114" t="s">
        <v>108</v>
      </c>
      <c r="O36" s="311"/>
      <c r="P36" s="312"/>
      <c r="Q36" s="313"/>
    </row>
    <row r="37" spans="1:17" ht="33" customHeight="1">
      <c r="A37" s="6">
        <v>26</v>
      </c>
      <c r="B37" s="63" t="str">
        <f>IF('0 AVAL'!B61 = "", "", '0 AVAL'!B61)</f>
        <v/>
      </c>
      <c r="C37" s="63" t="str">
        <f>IF('0 AVAL'!C61 = "", "", '0 AVAL'!C61)</f>
        <v/>
      </c>
      <c r="D37" s="63"/>
      <c r="E37" s="113"/>
      <c r="F37" s="114" t="s">
        <v>108</v>
      </c>
      <c r="G37" s="114" t="s">
        <v>108</v>
      </c>
      <c r="H37" s="310"/>
      <c r="I37" s="310"/>
      <c r="J37" s="114" t="s">
        <v>108</v>
      </c>
      <c r="K37" s="115"/>
      <c r="L37" s="114"/>
      <c r="M37" s="114" t="s">
        <v>108</v>
      </c>
      <c r="N37" s="114" t="s">
        <v>108</v>
      </c>
      <c r="O37" s="311"/>
      <c r="P37" s="312"/>
      <c r="Q37" s="313"/>
    </row>
    <row r="38" spans="1:17" ht="33" customHeight="1">
      <c r="A38" s="6">
        <v>27</v>
      </c>
      <c r="B38" s="63" t="str">
        <f>IF('0 AVAL'!B62 = "", "", '0 AVAL'!B62)</f>
        <v/>
      </c>
      <c r="C38" s="63" t="str">
        <f>IF('0 AVAL'!C62 = "", "", '0 AVAL'!C62)</f>
        <v/>
      </c>
      <c r="D38" s="63"/>
      <c r="E38" s="113"/>
      <c r="F38" s="114" t="s">
        <v>108</v>
      </c>
      <c r="G38" s="114" t="s">
        <v>108</v>
      </c>
      <c r="H38" s="310"/>
      <c r="I38" s="310"/>
      <c r="J38" s="114" t="s">
        <v>108</v>
      </c>
      <c r="K38" s="115"/>
      <c r="L38" s="114"/>
      <c r="M38" s="114" t="s">
        <v>108</v>
      </c>
      <c r="N38" s="114" t="s">
        <v>108</v>
      </c>
      <c r="O38" s="311"/>
      <c r="P38" s="312"/>
      <c r="Q38" s="313"/>
    </row>
    <row r="39" spans="1:17" ht="33" customHeight="1">
      <c r="A39" s="6">
        <v>28</v>
      </c>
      <c r="B39" s="63" t="str">
        <f>IF('0 AVAL'!B63 = "", "", '0 AVAL'!B63)</f>
        <v/>
      </c>
      <c r="C39" s="63" t="str">
        <f>IF('0 AVAL'!C63 = "", "", '0 AVAL'!C63)</f>
        <v/>
      </c>
      <c r="D39" s="63"/>
      <c r="E39" s="113"/>
      <c r="F39" s="114" t="s">
        <v>108</v>
      </c>
      <c r="G39" s="114" t="s">
        <v>108</v>
      </c>
      <c r="H39" s="310"/>
      <c r="I39" s="310"/>
      <c r="J39" s="114" t="s">
        <v>108</v>
      </c>
      <c r="K39" s="115"/>
      <c r="L39" s="114"/>
      <c r="M39" s="114" t="s">
        <v>108</v>
      </c>
      <c r="N39" s="114" t="s">
        <v>108</v>
      </c>
      <c r="O39" s="311"/>
      <c r="P39" s="312"/>
      <c r="Q39" s="313"/>
    </row>
    <row r="40" spans="1:17" ht="33" customHeight="1">
      <c r="A40" s="6">
        <v>29</v>
      </c>
      <c r="B40" s="63" t="str">
        <f>IF('0 AVAL'!B64 = "", "", '0 AVAL'!B64)</f>
        <v/>
      </c>
      <c r="C40" s="63" t="str">
        <f>IF('0 AVAL'!C64 = "", "", '0 AVAL'!C64)</f>
        <v/>
      </c>
      <c r="D40" s="63"/>
      <c r="E40" s="113"/>
      <c r="F40" s="114" t="s">
        <v>108</v>
      </c>
      <c r="G40" s="114" t="s">
        <v>108</v>
      </c>
      <c r="H40" s="310"/>
      <c r="I40" s="310"/>
      <c r="J40" s="114" t="s">
        <v>108</v>
      </c>
      <c r="K40" s="115"/>
      <c r="L40" s="114"/>
      <c r="M40" s="114" t="s">
        <v>108</v>
      </c>
      <c r="N40" s="114" t="s">
        <v>108</v>
      </c>
      <c r="O40" s="311"/>
      <c r="P40" s="312"/>
      <c r="Q40" s="313"/>
    </row>
    <row r="41" spans="1:17" ht="33" customHeight="1">
      <c r="A41" s="6">
        <v>30</v>
      </c>
      <c r="B41" s="63" t="str">
        <f>IF('0 AVAL'!B65 = "", "", '0 AVAL'!B65)</f>
        <v/>
      </c>
      <c r="C41" s="63" t="str">
        <f>IF('0 AVAL'!C65 = "", "", '0 AVAL'!C65)</f>
        <v/>
      </c>
      <c r="D41" s="63"/>
      <c r="E41" s="113"/>
      <c r="F41" s="114" t="s">
        <v>108</v>
      </c>
      <c r="G41" s="114" t="s">
        <v>108</v>
      </c>
      <c r="H41" s="310"/>
      <c r="I41" s="310"/>
      <c r="J41" s="114" t="s">
        <v>108</v>
      </c>
      <c r="K41" s="115"/>
      <c r="L41" s="114"/>
      <c r="M41" s="114" t="s">
        <v>108</v>
      </c>
      <c r="N41" s="114" t="s">
        <v>108</v>
      </c>
      <c r="O41" s="311"/>
      <c r="P41" s="312"/>
      <c r="Q41" s="313"/>
    </row>
    <row r="42" spans="1:17" ht="33" customHeight="1">
      <c r="A42" s="6">
        <v>31</v>
      </c>
      <c r="B42" s="63" t="str">
        <f>IF('0 AVAL'!B66 = "", "", '0 AVAL'!B66)</f>
        <v/>
      </c>
      <c r="C42" s="63" t="str">
        <f>IF('0 AVAL'!C66 = "", "", '0 AVAL'!C66)</f>
        <v/>
      </c>
      <c r="D42" s="63"/>
      <c r="E42" s="113"/>
      <c r="F42" s="114" t="s">
        <v>108</v>
      </c>
      <c r="G42" s="114" t="s">
        <v>108</v>
      </c>
      <c r="H42" s="310"/>
      <c r="I42" s="310"/>
      <c r="J42" s="114" t="s">
        <v>108</v>
      </c>
      <c r="K42" s="115"/>
      <c r="L42" s="114"/>
      <c r="M42" s="114" t="s">
        <v>108</v>
      </c>
      <c r="N42" s="114" t="s">
        <v>108</v>
      </c>
      <c r="O42" s="311"/>
      <c r="P42" s="312"/>
      <c r="Q42" s="313"/>
    </row>
    <row r="43" spans="1:17" ht="33" customHeight="1">
      <c r="A43" s="6">
        <v>32</v>
      </c>
      <c r="B43" s="63" t="str">
        <f>IF('0 AVAL'!B67 = "", "", '0 AVAL'!B67)</f>
        <v/>
      </c>
      <c r="C43" s="63" t="str">
        <f>IF('0 AVAL'!C67 = "", "", '0 AVAL'!C67)</f>
        <v/>
      </c>
      <c r="D43" s="63"/>
      <c r="E43" s="113"/>
      <c r="F43" s="114" t="s">
        <v>108</v>
      </c>
      <c r="G43" s="114" t="s">
        <v>108</v>
      </c>
      <c r="H43" s="310"/>
      <c r="I43" s="310"/>
      <c r="J43" s="114" t="s">
        <v>108</v>
      </c>
      <c r="K43" s="115"/>
      <c r="L43" s="114"/>
      <c r="M43" s="114" t="s">
        <v>108</v>
      </c>
      <c r="N43" s="114" t="s">
        <v>108</v>
      </c>
      <c r="O43" s="311"/>
      <c r="P43" s="312"/>
      <c r="Q43" s="313"/>
    </row>
    <row r="44" spans="1:17" ht="33" customHeight="1">
      <c r="A44" s="6">
        <v>33</v>
      </c>
      <c r="B44" s="63" t="str">
        <f>IF('0 AVAL'!B68 = "", "", '0 AVAL'!B68)</f>
        <v/>
      </c>
      <c r="C44" s="63" t="str">
        <f>IF('0 AVAL'!C68 = "", "", '0 AVAL'!C68)</f>
        <v/>
      </c>
      <c r="D44" s="63"/>
      <c r="E44" s="113"/>
      <c r="F44" s="114" t="s">
        <v>108</v>
      </c>
      <c r="G44" s="114" t="s">
        <v>108</v>
      </c>
      <c r="H44" s="310"/>
      <c r="I44" s="310"/>
      <c r="J44" s="114" t="s">
        <v>108</v>
      </c>
      <c r="K44" s="115"/>
      <c r="L44" s="114"/>
      <c r="M44" s="114" t="s">
        <v>108</v>
      </c>
      <c r="N44" s="114" t="s">
        <v>108</v>
      </c>
      <c r="O44" s="311"/>
      <c r="P44" s="312"/>
      <c r="Q44" s="313"/>
    </row>
    <row r="45" spans="1:17" ht="33" customHeight="1">
      <c r="A45" s="6">
        <v>34</v>
      </c>
      <c r="B45" s="63" t="str">
        <f>IF('0 AVAL'!B69 = "", "", '0 AVAL'!B69)</f>
        <v/>
      </c>
      <c r="C45" s="63" t="str">
        <f>IF('0 AVAL'!C69 = "", "", '0 AVAL'!C69)</f>
        <v/>
      </c>
      <c r="D45" s="63"/>
      <c r="E45" s="113"/>
      <c r="F45" s="114" t="s">
        <v>108</v>
      </c>
      <c r="G45" s="114" t="s">
        <v>108</v>
      </c>
      <c r="H45" s="310"/>
      <c r="I45" s="310"/>
      <c r="J45" s="114" t="s">
        <v>108</v>
      </c>
      <c r="K45" s="115"/>
      <c r="L45" s="114"/>
      <c r="M45" s="114" t="s">
        <v>108</v>
      </c>
      <c r="N45" s="114" t="s">
        <v>108</v>
      </c>
      <c r="O45" s="311"/>
      <c r="P45" s="312"/>
      <c r="Q45" s="313"/>
    </row>
    <row r="46" spans="1:17" ht="33" customHeight="1">
      <c r="A46" s="6">
        <v>35</v>
      </c>
      <c r="B46" s="63" t="str">
        <f>IF('0 AVAL'!B70 = "", "", '0 AVAL'!B70)</f>
        <v/>
      </c>
      <c r="C46" s="63" t="str">
        <f>IF('0 AVAL'!C70 = "", "", '0 AVAL'!C70)</f>
        <v/>
      </c>
      <c r="D46" s="63"/>
      <c r="E46" s="113"/>
      <c r="F46" s="114" t="s">
        <v>108</v>
      </c>
      <c r="G46" s="114" t="s">
        <v>108</v>
      </c>
      <c r="H46" s="310"/>
      <c r="I46" s="310"/>
      <c r="J46" s="114" t="s">
        <v>108</v>
      </c>
      <c r="K46" s="115"/>
      <c r="L46" s="114"/>
      <c r="M46" s="114" t="s">
        <v>108</v>
      </c>
      <c r="N46" s="114" t="s">
        <v>108</v>
      </c>
      <c r="O46" s="311"/>
      <c r="P46" s="312"/>
      <c r="Q46" s="313"/>
    </row>
    <row r="47" spans="1:17" ht="33" customHeight="1">
      <c r="A47" s="6">
        <v>36</v>
      </c>
      <c r="B47" s="63" t="str">
        <f>IF('0 AVAL'!B71 = "", "", '0 AVAL'!B71)</f>
        <v/>
      </c>
      <c r="C47" s="63" t="str">
        <f>IF('0 AVAL'!C71 = "", "", '0 AVAL'!C71)</f>
        <v/>
      </c>
      <c r="D47" s="63"/>
      <c r="E47" s="113"/>
      <c r="F47" s="114" t="s">
        <v>108</v>
      </c>
      <c r="G47" s="114" t="s">
        <v>108</v>
      </c>
      <c r="H47" s="310"/>
      <c r="I47" s="310"/>
      <c r="J47" s="114" t="s">
        <v>108</v>
      </c>
      <c r="K47" s="115"/>
      <c r="L47" s="114"/>
      <c r="M47" s="114" t="s">
        <v>108</v>
      </c>
      <c r="N47" s="114" t="s">
        <v>108</v>
      </c>
      <c r="O47" s="311"/>
      <c r="P47" s="312"/>
      <c r="Q47" s="313"/>
    </row>
    <row r="48" spans="1:17" ht="33" customHeight="1">
      <c r="A48" s="6">
        <v>37</v>
      </c>
      <c r="B48" s="63" t="str">
        <f>IF('0 AVAL'!B72 = "", "", '0 AVAL'!B72)</f>
        <v/>
      </c>
      <c r="C48" s="63" t="str">
        <f>IF('0 AVAL'!C72 = "", "", '0 AVAL'!C72)</f>
        <v/>
      </c>
      <c r="D48" s="63"/>
      <c r="E48" s="113"/>
      <c r="F48" s="114" t="s">
        <v>108</v>
      </c>
      <c r="G48" s="114" t="s">
        <v>108</v>
      </c>
      <c r="H48" s="310"/>
      <c r="I48" s="310"/>
      <c r="J48" s="114" t="s">
        <v>108</v>
      </c>
      <c r="K48" s="115"/>
      <c r="L48" s="114"/>
      <c r="M48" s="114" t="s">
        <v>108</v>
      </c>
      <c r="N48" s="114" t="s">
        <v>108</v>
      </c>
      <c r="O48" s="311"/>
      <c r="P48" s="312"/>
      <c r="Q48" s="313"/>
    </row>
    <row r="49" spans="1:17" ht="33" customHeight="1">
      <c r="A49" s="6">
        <v>38</v>
      </c>
      <c r="B49" s="63" t="str">
        <f>IF('0 AVAL'!B73 = "", "", '0 AVAL'!B73)</f>
        <v/>
      </c>
      <c r="C49" s="63" t="str">
        <f>IF('0 AVAL'!C73 = "", "", '0 AVAL'!C73)</f>
        <v/>
      </c>
      <c r="D49" s="63"/>
      <c r="E49" s="113"/>
      <c r="F49" s="114" t="s">
        <v>108</v>
      </c>
      <c r="G49" s="114" t="s">
        <v>108</v>
      </c>
      <c r="H49" s="310"/>
      <c r="I49" s="310"/>
      <c r="J49" s="114" t="s">
        <v>108</v>
      </c>
      <c r="K49" s="115"/>
      <c r="L49" s="114"/>
      <c r="M49" s="114" t="s">
        <v>108</v>
      </c>
      <c r="N49" s="114" t="s">
        <v>108</v>
      </c>
      <c r="O49" s="311"/>
      <c r="P49" s="312"/>
      <c r="Q49" s="313"/>
    </row>
    <row r="50" spans="1:17" ht="33" customHeight="1">
      <c r="A50" s="6">
        <v>39</v>
      </c>
      <c r="B50" s="63" t="str">
        <f>IF('0 AVAL'!B74 = "", "", '0 AVAL'!B74)</f>
        <v/>
      </c>
      <c r="C50" s="63" t="str">
        <f>IF('0 AVAL'!C74 = "", "", '0 AVAL'!C74)</f>
        <v/>
      </c>
      <c r="D50" s="63"/>
      <c r="E50" s="113"/>
      <c r="F50" s="114" t="s">
        <v>108</v>
      </c>
      <c r="G50" s="114" t="s">
        <v>108</v>
      </c>
      <c r="H50" s="310"/>
      <c r="I50" s="310"/>
      <c r="J50" s="119" t="s">
        <v>108</v>
      </c>
      <c r="K50" s="120"/>
      <c r="L50" s="114"/>
      <c r="M50" s="114" t="s">
        <v>108</v>
      </c>
      <c r="N50" s="114" t="s">
        <v>108</v>
      </c>
      <c r="O50" s="311"/>
      <c r="P50" s="312"/>
      <c r="Q50" s="313"/>
    </row>
    <row r="51" spans="1:17" ht="33" customHeight="1" thickBot="1">
      <c r="A51" s="6">
        <v>40</v>
      </c>
      <c r="B51" s="63" t="str">
        <f>IF('0 AVAL'!B75 = "", "", '0 AVAL'!B75)</f>
        <v/>
      </c>
      <c r="C51" s="63" t="str">
        <f>IF('0 AVAL'!C75 = "", "", '0 AVAL'!C75)</f>
        <v/>
      </c>
      <c r="D51" s="63"/>
      <c r="E51" s="121"/>
      <c r="F51" s="114" t="s">
        <v>108</v>
      </c>
      <c r="G51" s="114" t="s">
        <v>108</v>
      </c>
      <c r="H51" s="321"/>
      <c r="I51" s="321"/>
      <c r="J51" s="123" t="s">
        <v>108</v>
      </c>
      <c r="K51" s="124"/>
      <c r="L51" s="122"/>
      <c r="M51" s="114" t="s">
        <v>108</v>
      </c>
      <c r="N51" s="114" t="s">
        <v>108</v>
      </c>
      <c r="O51" s="322"/>
      <c r="P51" s="323"/>
      <c r="Q51" s="324"/>
    </row>
    <row r="52" spans="1:17" s="128" customFormat="1" ht="27" customHeight="1">
      <c r="A52" s="99"/>
      <c r="B52" s="98"/>
      <c r="C52" s="126"/>
      <c r="D52" s="98"/>
      <c r="E52" s="98"/>
      <c r="F52" s="127" t="s">
        <v>109</v>
      </c>
      <c r="G52" s="98"/>
      <c r="H52" s="98"/>
      <c r="I52" s="98"/>
      <c r="J52" s="127" t="s">
        <v>109</v>
      </c>
      <c r="K52" s="98"/>
      <c r="M52" s="127" t="s">
        <v>109</v>
      </c>
      <c r="N52" s="127" t="s">
        <v>109</v>
      </c>
      <c r="O52" s="98"/>
      <c r="P52" s="98"/>
      <c r="Q52" s="98"/>
    </row>
    <row r="53" spans="1:17" ht="27" customHeight="1" thickBot="1"/>
    <row r="54" spans="1:17" s="37" customFormat="1" ht="21.4" thickBot="1">
      <c r="B54" s="274" t="s">
        <v>110</v>
      </c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7"/>
    </row>
    <row r="55" spans="1:17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7" s="29" customFormat="1" ht="21.75" customHeight="1">
      <c r="A56" s="129">
        <v>1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7" t="s">
        <v>70</v>
      </c>
      <c r="L56" s="288"/>
      <c r="M56" s="288"/>
      <c r="N56" s="288"/>
      <c r="O56" s="288"/>
      <c r="P56" s="289"/>
    </row>
    <row r="57" spans="1:17" s="29" customFormat="1" ht="21.75" customHeight="1">
      <c r="A57" s="129">
        <v>2</v>
      </c>
      <c r="B57" s="325"/>
      <c r="C57" s="325"/>
      <c r="D57" s="325"/>
      <c r="E57" s="325"/>
      <c r="F57" s="325"/>
      <c r="G57" s="325"/>
      <c r="H57" s="325"/>
      <c r="I57" s="325"/>
      <c r="J57" s="325"/>
      <c r="K57" s="290"/>
      <c r="L57" s="291"/>
      <c r="M57" s="291"/>
      <c r="N57" s="291"/>
      <c r="O57" s="291"/>
      <c r="P57" s="292"/>
    </row>
    <row r="58" spans="1:17" s="29" customFormat="1" ht="21.75" customHeight="1">
      <c r="A58" s="129">
        <v>3</v>
      </c>
      <c r="B58" s="325"/>
      <c r="C58" s="325"/>
      <c r="D58" s="325"/>
      <c r="E58" s="325"/>
      <c r="F58" s="325"/>
      <c r="G58" s="325"/>
      <c r="H58" s="325"/>
      <c r="I58" s="325"/>
      <c r="J58" s="325"/>
      <c r="K58" s="290"/>
      <c r="L58" s="291"/>
      <c r="M58" s="291"/>
      <c r="N58" s="291"/>
      <c r="O58" s="291"/>
      <c r="P58" s="292"/>
    </row>
    <row r="59" spans="1:17" s="29" customFormat="1" ht="21.75" customHeight="1">
      <c r="A59" s="129">
        <v>4</v>
      </c>
      <c r="B59" s="325"/>
      <c r="C59" s="325"/>
      <c r="D59" s="325"/>
      <c r="E59" s="325"/>
      <c r="F59" s="325"/>
      <c r="G59" s="325"/>
      <c r="H59" s="325"/>
      <c r="I59" s="325"/>
      <c r="J59" s="325"/>
      <c r="K59" s="290"/>
      <c r="L59" s="291"/>
      <c r="M59" s="291"/>
      <c r="N59" s="291"/>
      <c r="O59" s="291"/>
      <c r="P59" s="292"/>
    </row>
    <row r="60" spans="1:17" s="29" customFormat="1" ht="21.75" customHeight="1">
      <c r="A60" s="129">
        <v>5</v>
      </c>
      <c r="B60" s="325"/>
      <c r="C60" s="325"/>
      <c r="D60" s="325"/>
      <c r="E60" s="325"/>
      <c r="F60" s="325"/>
      <c r="G60" s="325"/>
      <c r="H60" s="325"/>
      <c r="I60" s="325"/>
      <c r="J60" s="325"/>
      <c r="K60" s="290"/>
      <c r="L60" s="291"/>
      <c r="M60" s="291"/>
      <c r="N60" s="291"/>
      <c r="O60" s="291"/>
      <c r="P60" s="292"/>
    </row>
    <row r="61" spans="1:17" s="29" customFormat="1" ht="21.75" customHeight="1">
      <c r="A61" s="129">
        <v>6</v>
      </c>
      <c r="B61" s="325"/>
      <c r="C61" s="325"/>
      <c r="D61" s="325"/>
      <c r="E61" s="325"/>
      <c r="F61" s="325"/>
      <c r="G61" s="325"/>
      <c r="H61" s="325"/>
      <c r="I61" s="325"/>
      <c r="J61" s="325"/>
      <c r="K61" s="290"/>
      <c r="L61" s="291"/>
      <c r="M61" s="291"/>
      <c r="N61" s="291"/>
      <c r="O61" s="291"/>
      <c r="P61" s="292"/>
    </row>
    <row r="62" spans="1:17" s="29" customFormat="1" ht="21.75" customHeight="1" thickBot="1">
      <c r="A62" s="129">
        <v>7</v>
      </c>
      <c r="B62" s="319"/>
      <c r="C62" s="319"/>
      <c r="D62" s="319"/>
      <c r="E62" s="319"/>
      <c r="F62" s="319"/>
      <c r="G62" s="319"/>
      <c r="H62" s="319"/>
      <c r="I62" s="319"/>
      <c r="J62" s="319"/>
      <c r="K62" s="293"/>
      <c r="L62" s="294"/>
      <c r="M62" s="294"/>
      <c r="N62" s="294"/>
      <c r="O62" s="294"/>
      <c r="P62" s="295"/>
    </row>
    <row r="63" spans="1:17" ht="36.75" customHeight="1">
      <c r="B63" s="320" t="s">
        <v>71</v>
      </c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</row>
  </sheetData>
  <mergeCells count="107">
    <mergeCell ref="B62:J62"/>
    <mergeCell ref="B63:O63"/>
    <mergeCell ref="H51:I51"/>
    <mergeCell ref="O51:Q51"/>
    <mergeCell ref="B54:P54"/>
    <mergeCell ref="B56:J56"/>
    <mergeCell ref="K56:P62"/>
    <mergeCell ref="B57:J57"/>
    <mergeCell ref="B58:J58"/>
    <mergeCell ref="B59:J59"/>
    <mergeCell ref="B60:J60"/>
    <mergeCell ref="B61:J61"/>
    <mergeCell ref="H48:I48"/>
    <mergeCell ref="O48:Q48"/>
    <mergeCell ref="H49:I49"/>
    <mergeCell ref="O49:Q49"/>
    <mergeCell ref="H50:I50"/>
    <mergeCell ref="O50:Q50"/>
    <mergeCell ref="H45:I45"/>
    <mergeCell ref="O45:Q45"/>
    <mergeCell ref="H46:I46"/>
    <mergeCell ref="O46:Q46"/>
    <mergeCell ref="H47:I47"/>
    <mergeCell ref="O47:Q47"/>
    <mergeCell ref="H42:I42"/>
    <mergeCell ref="O42:Q42"/>
    <mergeCell ref="H43:I43"/>
    <mergeCell ref="O43:Q43"/>
    <mergeCell ref="H44:I44"/>
    <mergeCell ref="O44:Q44"/>
    <mergeCell ref="H39:I39"/>
    <mergeCell ref="O39:Q39"/>
    <mergeCell ref="H40:I40"/>
    <mergeCell ref="O40:Q40"/>
    <mergeCell ref="H41:I41"/>
    <mergeCell ref="O41:Q41"/>
    <mergeCell ref="H36:I36"/>
    <mergeCell ref="O36:Q36"/>
    <mergeCell ref="H37:I37"/>
    <mergeCell ref="O37:Q37"/>
    <mergeCell ref="H38:I38"/>
    <mergeCell ref="O38:Q38"/>
    <mergeCell ref="H33:I33"/>
    <mergeCell ref="O33:Q33"/>
    <mergeCell ref="H34:I34"/>
    <mergeCell ref="O34:Q34"/>
    <mergeCell ref="H35:I35"/>
    <mergeCell ref="O35:Q35"/>
    <mergeCell ref="H30:I30"/>
    <mergeCell ref="O30:Q30"/>
    <mergeCell ref="H31:I31"/>
    <mergeCell ref="O31:Q31"/>
    <mergeCell ref="H32:I32"/>
    <mergeCell ref="O32:Q32"/>
    <mergeCell ref="H27:I27"/>
    <mergeCell ref="O27:Q27"/>
    <mergeCell ref="H28:I28"/>
    <mergeCell ref="O28:Q28"/>
    <mergeCell ref="H29:I29"/>
    <mergeCell ref="O29:Q29"/>
    <mergeCell ref="H24:I24"/>
    <mergeCell ref="O24:Q24"/>
    <mergeCell ref="H25:I25"/>
    <mergeCell ref="O25:Q25"/>
    <mergeCell ref="H26:I26"/>
    <mergeCell ref="O26:Q26"/>
    <mergeCell ref="H21:I21"/>
    <mergeCell ref="O21:Q21"/>
    <mergeCell ref="H22:I22"/>
    <mergeCell ref="O22:Q22"/>
    <mergeCell ref="H23:I23"/>
    <mergeCell ref="O23:Q23"/>
    <mergeCell ref="H18:I18"/>
    <mergeCell ref="O18:Q18"/>
    <mergeCell ref="H19:I19"/>
    <mergeCell ref="O19:Q19"/>
    <mergeCell ref="H20:I20"/>
    <mergeCell ref="O20:Q20"/>
    <mergeCell ref="H15:I15"/>
    <mergeCell ref="O15:Q15"/>
    <mergeCell ref="H16:I16"/>
    <mergeCell ref="O16:Q16"/>
    <mergeCell ref="H17:I17"/>
    <mergeCell ref="O17:Q17"/>
    <mergeCell ref="H12:I12"/>
    <mergeCell ref="O12:Q12"/>
    <mergeCell ref="H13:I13"/>
    <mergeCell ref="O13:Q13"/>
    <mergeCell ref="H14:I14"/>
    <mergeCell ref="O14:Q14"/>
    <mergeCell ref="J6:K6"/>
    <mergeCell ref="L6:O6"/>
    <mergeCell ref="J7:K7"/>
    <mergeCell ref="L7:O7"/>
    <mergeCell ref="B9:P9"/>
    <mergeCell ref="H11:I11"/>
    <mergeCell ref="O11:Q11"/>
    <mergeCell ref="B2:C6"/>
    <mergeCell ref="D2:G6"/>
    <mergeCell ref="H2:H6"/>
    <mergeCell ref="I2:I6"/>
    <mergeCell ref="J3:K3"/>
    <mergeCell ref="L3:O3"/>
    <mergeCell ref="J4:K4"/>
    <mergeCell ref="L4:O4"/>
    <mergeCell ref="J5:K5"/>
    <mergeCell ref="L5:O5"/>
  </mergeCells>
  <conditionalFormatting sqref="F52">
    <cfRule type="cellIs" dxfId="26" priority="8" operator="equal">
      <formula>"Sí"</formula>
    </cfRule>
  </conditionalFormatting>
  <conditionalFormatting sqref="F12:G52">
    <cfRule type="cellIs" dxfId="25" priority="1" operator="equal">
      <formula>"No"</formula>
    </cfRule>
  </conditionalFormatting>
  <conditionalFormatting sqref="J12:J52">
    <cfRule type="cellIs" dxfId="24" priority="5" operator="equal">
      <formula>"No"</formula>
    </cfRule>
  </conditionalFormatting>
  <conditionalFormatting sqref="J52">
    <cfRule type="cellIs" dxfId="23" priority="4" operator="equal">
      <formula>"Sí"</formula>
    </cfRule>
  </conditionalFormatting>
  <conditionalFormatting sqref="L12:N51">
    <cfRule type="cellIs" dxfId="22" priority="6" operator="equal">
      <formula>"Sí"</formula>
    </cfRule>
    <cfRule type="cellIs" dxfId="21" priority="7" operator="equal">
      <formula>"No"</formula>
    </cfRule>
  </conditionalFormatting>
  <conditionalFormatting sqref="M52:N52">
    <cfRule type="cellIs" dxfId="20" priority="2" operator="equal">
      <formula>"Sí"</formula>
    </cfRule>
    <cfRule type="cellIs" dxfId="19" priority="3" operator="equal">
      <formula>"No"</formula>
    </cfRule>
  </conditionalFormatting>
  <dataValidations count="2">
    <dataValidation allowBlank="1" showInputMessage="1" showErrorMessage="1" sqref="A52:K52 M52:XFD52 L12:L51 L6:O6" xr:uid="{BD2596CA-3B5B-4FB9-B3E1-27511D063CF6}"/>
    <dataValidation type="date" allowBlank="1" showInputMessage="1" showErrorMessage="1" sqref="L7" xr:uid="{C031699E-EA4C-4097-88EB-99B2211BC101}">
      <formula1>45170</formula1>
      <formula2>47664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2E54-5EEF-481B-BBA8-B4817E47C531}">
  <dimension ref="A1:GB62"/>
  <sheetViews>
    <sheetView workbookViewId="0">
      <selection activeCell="D13" sqref="D13:D52"/>
    </sheetView>
  </sheetViews>
  <sheetFormatPr baseColWidth="10" defaultColWidth="0" defaultRowHeight="15.75" zeroHeight="1"/>
  <cols>
    <col min="1" max="1" width="4.73046875" style="1" customWidth="1"/>
    <col min="2" max="2" width="17.3984375" style="1" customWidth="1"/>
    <col min="3" max="3" width="41.59765625" style="1" customWidth="1"/>
    <col min="4" max="4" width="12.59765625" style="1" customWidth="1"/>
    <col min="5" max="5" width="3.73046875" style="75" customWidth="1"/>
    <col min="6" max="6" width="20.73046875" style="1" customWidth="1"/>
    <col min="7" max="8" width="15.86328125" style="1" customWidth="1"/>
    <col min="9" max="9" width="3.73046875" style="1" customWidth="1"/>
    <col min="10" max="10" width="24.265625" style="1" customWidth="1"/>
    <col min="11" max="12" width="15.86328125" style="1" customWidth="1"/>
    <col min="13" max="13" width="3.73046875" style="1" customWidth="1"/>
    <col min="14" max="14" width="18" style="1" customWidth="1"/>
    <col min="15" max="16" width="15.86328125" style="1" customWidth="1"/>
    <col min="17" max="17" width="12.59765625" style="1" customWidth="1"/>
    <col min="18" max="25" width="0" style="1" hidden="1" customWidth="1"/>
    <col min="26" max="184" width="4.3984375" style="1" hidden="1" customWidth="1"/>
    <col min="185" max="16384" width="0" style="1" hidden="1"/>
  </cols>
  <sheetData>
    <row r="1" spans="1:17" ht="15.75" customHeight="1">
      <c r="A1" s="29"/>
      <c r="B1" s="29"/>
      <c r="C1" s="29"/>
      <c r="D1" s="29"/>
      <c r="E1" s="130"/>
      <c r="F1" s="29"/>
      <c r="G1" s="29"/>
      <c r="H1" s="29"/>
      <c r="I1" s="29"/>
      <c r="J1" s="30" t="s">
        <v>0</v>
      </c>
      <c r="K1" s="30"/>
      <c r="L1" s="30"/>
      <c r="M1" s="31"/>
      <c r="N1" s="30"/>
      <c r="O1" s="30"/>
      <c r="P1" s="30"/>
    </row>
    <row r="2" spans="1:17" ht="15.75" customHeight="1">
      <c r="A2" s="29"/>
      <c r="B2" s="197" t="e" vm="1">
        <v>#VALUE!</v>
      </c>
      <c r="C2" s="197"/>
      <c r="D2" s="197" t="e" vm="2">
        <v>#VALUE!</v>
      </c>
      <c r="E2" s="197"/>
      <c r="F2" s="197"/>
      <c r="G2" s="197"/>
      <c r="H2" s="197"/>
      <c r="I2" s="32"/>
      <c r="K2" s="248"/>
      <c r="L2" s="248"/>
      <c r="M2" s="248"/>
      <c r="N2" s="248"/>
      <c r="O2" s="248"/>
      <c r="P2" s="248"/>
      <c r="Q2" s="248"/>
    </row>
    <row r="3" spans="1:17" ht="19.5" customHeight="1">
      <c r="A3" s="29"/>
      <c r="B3" s="197"/>
      <c r="C3" s="197"/>
      <c r="D3" s="197"/>
      <c r="E3" s="197"/>
      <c r="F3" s="197"/>
      <c r="G3" s="197"/>
      <c r="H3" s="197"/>
      <c r="I3" s="32"/>
      <c r="J3" s="70" t="s">
        <v>1</v>
      </c>
      <c r="K3" s="198" t="str">
        <f>IF(INDEX!G3 = "", "", INDEX!G3)</f>
        <v/>
      </c>
      <c r="L3" s="198"/>
      <c r="M3" s="198"/>
      <c r="N3" s="198"/>
      <c r="O3" s="36"/>
      <c r="P3" s="36"/>
    </row>
    <row r="4" spans="1:17" ht="19.5" customHeight="1">
      <c r="A4" s="29"/>
      <c r="B4" s="197"/>
      <c r="C4" s="197"/>
      <c r="D4" s="197"/>
      <c r="E4" s="197"/>
      <c r="F4" s="197"/>
      <c r="G4" s="197"/>
      <c r="H4" s="197"/>
      <c r="I4" s="32"/>
      <c r="J4" s="33" t="s">
        <v>2</v>
      </c>
      <c r="K4" s="198" t="str">
        <f>IF(INDEX!G4 = "", "", INDEX!G4)</f>
        <v/>
      </c>
      <c r="L4" s="198"/>
      <c r="M4" s="198"/>
      <c r="N4" s="198"/>
      <c r="O4" s="36"/>
      <c r="P4" s="36"/>
    </row>
    <row r="5" spans="1:17" ht="20.25" hidden="1" customHeight="1">
      <c r="A5" s="29"/>
      <c r="B5" s="197"/>
      <c r="C5" s="197"/>
      <c r="D5" s="197"/>
      <c r="E5" s="197"/>
      <c r="F5" s="197"/>
      <c r="G5" s="197"/>
      <c r="H5" s="197"/>
      <c r="I5" s="32"/>
      <c r="K5" s="199">
        <f>INDEX!F5</f>
        <v>0</v>
      </c>
      <c r="L5" s="199"/>
      <c r="M5" s="199"/>
      <c r="N5" s="199"/>
      <c r="O5" s="36"/>
      <c r="P5" s="36"/>
    </row>
    <row r="6" spans="1:17" ht="19.5" customHeight="1">
      <c r="A6" s="29"/>
      <c r="B6" s="197"/>
      <c r="C6" s="197"/>
      <c r="D6" s="197"/>
      <c r="E6" s="197"/>
      <c r="F6" s="197"/>
      <c r="G6" s="197"/>
      <c r="H6" s="197"/>
      <c r="I6" s="32"/>
      <c r="J6" s="71" t="s">
        <v>3</v>
      </c>
      <c r="K6" s="198" t="str">
        <f>INDEX!G5</f>
        <v>2025-2026</v>
      </c>
      <c r="L6" s="198"/>
      <c r="M6" s="198"/>
      <c r="N6" s="198"/>
      <c r="O6" s="36"/>
      <c r="P6" s="36"/>
    </row>
    <row r="7" spans="1:17" ht="19.5" customHeight="1" thickBot="1">
      <c r="A7" s="29"/>
      <c r="B7" s="197"/>
      <c r="C7" s="197"/>
      <c r="D7" s="197"/>
      <c r="E7" s="197"/>
      <c r="F7" s="197"/>
      <c r="G7" s="197"/>
      <c r="H7" s="197"/>
      <c r="I7" s="32"/>
      <c r="J7" s="72" t="s">
        <v>95</v>
      </c>
      <c r="K7" s="199" t="s">
        <v>111</v>
      </c>
      <c r="L7" s="199"/>
      <c r="M7" s="199"/>
      <c r="N7" s="199"/>
      <c r="O7" s="36"/>
      <c r="P7" s="36"/>
    </row>
    <row r="8" spans="1:17" ht="19.5" customHeight="1">
      <c r="A8" s="29"/>
      <c r="B8" s="29"/>
      <c r="C8" s="29"/>
      <c r="D8" s="32"/>
      <c r="E8" s="131"/>
      <c r="F8" s="32"/>
      <c r="G8" s="32"/>
      <c r="H8" s="32"/>
      <c r="I8" s="32"/>
      <c r="J8" s="73" t="s">
        <v>97</v>
      </c>
      <c r="K8" s="249"/>
      <c r="L8" s="298"/>
      <c r="M8" s="298"/>
      <c r="N8" s="298"/>
      <c r="O8" s="132"/>
      <c r="P8" s="132"/>
    </row>
    <row r="9" spans="1:17" ht="15" customHeight="1"/>
    <row r="10" spans="1:17" s="37" customFormat="1" ht="30" customHeight="1">
      <c r="B10" s="133" t="s">
        <v>112</v>
      </c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5"/>
      <c r="Q10" s="136"/>
    </row>
    <row r="11" spans="1:17" ht="15" customHeight="1">
      <c r="F11" s="137">
        <v>0.5</v>
      </c>
      <c r="J11" s="137">
        <v>0.5</v>
      </c>
    </row>
    <row r="12" spans="1:17" s="6" customFormat="1" ht="32.25" customHeight="1">
      <c r="B12" s="138" t="s">
        <v>55</v>
      </c>
      <c r="C12" s="111" t="s">
        <v>56</v>
      </c>
      <c r="D12" s="139" t="s">
        <v>113</v>
      </c>
      <c r="E12" s="140"/>
      <c r="F12" s="138" t="s">
        <v>114</v>
      </c>
      <c r="G12" s="326" t="s">
        <v>84</v>
      </c>
      <c r="H12" s="327"/>
      <c r="I12" s="141"/>
      <c r="J12" s="142" t="s">
        <v>115</v>
      </c>
      <c r="K12" s="328" t="s">
        <v>84</v>
      </c>
      <c r="L12" s="329"/>
      <c r="M12" s="141"/>
      <c r="N12" s="142" t="s">
        <v>115</v>
      </c>
      <c r="O12" s="328" t="s">
        <v>84</v>
      </c>
      <c r="P12" s="329"/>
      <c r="Q12" s="143"/>
    </row>
    <row r="13" spans="1:17" ht="33" customHeight="1">
      <c r="A13" s="6">
        <v>1</v>
      </c>
      <c r="B13" s="144" t="str">
        <f>IF('0 AVAL'!B36 = "", "", '0 AVAL'!B36)</f>
        <v/>
      </c>
      <c r="C13" s="144" t="str">
        <f>IF('0 AVAL'!C36 = "", "", '0 AVAL'!C36)</f>
        <v/>
      </c>
      <c r="D13" s="144"/>
      <c r="E13" s="131"/>
      <c r="F13" s="146"/>
      <c r="G13" s="330"/>
      <c r="H13" s="331"/>
      <c r="I13" s="147"/>
      <c r="J13" s="116"/>
      <c r="K13" s="312"/>
      <c r="L13" s="313"/>
      <c r="M13" s="147"/>
      <c r="N13" s="148" t="s">
        <v>108</v>
      </c>
      <c r="O13" s="312"/>
      <c r="P13" s="313"/>
      <c r="Q13" s="149"/>
    </row>
    <row r="14" spans="1:17" ht="33" customHeight="1">
      <c r="A14" s="6">
        <v>2</v>
      </c>
      <c r="B14" s="144" t="str">
        <f>IF('0 AVAL'!B37 = "", "", '0 AVAL'!B37)</f>
        <v/>
      </c>
      <c r="C14" s="144" t="str">
        <f>IF('0 AVAL'!C37 = "", "", '0 AVAL'!C37)</f>
        <v/>
      </c>
      <c r="D14" s="144"/>
      <c r="E14" s="131"/>
      <c r="F14" s="116"/>
      <c r="G14" s="312"/>
      <c r="H14" s="313"/>
      <c r="I14" s="147"/>
      <c r="J14" s="116"/>
      <c r="K14" s="312"/>
      <c r="L14" s="313"/>
      <c r="M14" s="147"/>
      <c r="N14" s="148" t="s">
        <v>108</v>
      </c>
      <c r="O14" s="312"/>
      <c r="P14" s="313"/>
      <c r="Q14" s="147"/>
    </row>
    <row r="15" spans="1:17" ht="33" customHeight="1">
      <c r="A15" s="6">
        <v>3</v>
      </c>
      <c r="B15" s="144" t="str">
        <f>IF('0 AVAL'!B38 = "", "", '0 AVAL'!B38)</f>
        <v/>
      </c>
      <c r="C15" s="144" t="str">
        <f>IF('0 AVAL'!C38 = "", "", '0 AVAL'!C38)</f>
        <v/>
      </c>
      <c r="D15" s="144"/>
      <c r="E15" s="131"/>
      <c r="F15" s="116"/>
      <c r="G15" s="312"/>
      <c r="H15" s="313"/>
      <c r="I15" s="147"/>
      <c r="J15" s="116"/>
      <c r="K15" s="312"/>
      <c r="L15" s="313"/>
      <c r="M15" s="147"/>
      <c r="N15" s="148" t="s">
        <v>108</v>
      </c>
      <c r="O15" s="312"/>
      <c r="P15" s="313"/>
      <c r="Q15" s="147"/>
    </row>
    <row r="16" spans="1:17" ht="33" customHeight="1">
      <c r="A16" s="6">
        <v>4</v>
      </c>
      <c r="B16" s="144" t="str">
        <f>IF('0 AVAL'!B39 = "", "", '0 AVAL'!B39)</f>
        <v/>
      </c>
      <c r="C16" s="144" t="str">
        <f>IF('0 AVAL'!C39 = "", "", '0 AVAL'!C39)</f>
        <v/>
      </c>
      <c r="D16" s="144"/>
      <c r="E16" s="131"/>
      <c r="F16" s="116"/>
      <c r="G16" s="312"/>
      <c r="H16" s="313"/>
      <c r="I16" s="147"/>
      <c r="J16" s="116"/>
      <c r="K16" s="312"/>
      <c r="L16" s="313"/>
      <c r="M16" s="147"/>
      <c r="N16" s="148" t="s">
        <v>108</v>
      </c>
      <c r="O16" s="312"/>
      <c r="P16" s="313"/>
      <c r="Q16" s="147"/>
    </row>
    <row r="17" spans="1:16" ht="33" customHeight="1">
      <c r="A17" s="6">
        <v>5</v>
      </c>
      <c r="B17" s="144" t="str">
        <f>IF('0 AVAL'!B40 = "", "", '0 AVAL'!B40)</f>
        <v/>
      </c>
      <c r="C17" s="144" t="str">
        <f>IF('0 AVAL'!C40 = "", "", '0 AVAL'!C40)</f>
        <v/>
      </c>
      <c r="D17" s="144"/>
      <c r="E17" s="131"/>
      <c r="F17" s="116"/>
      <c r="G17" s="312"/>
      <c r="H17" s="313"/>
      <c r="I17" s="147"/>
      <c r="J17" s="116"/>
      <c r="K17" s="312"/>
      <c r="L17" s="313"/>
      <c r="M17" s="147"/>
      <c r="N17" s="148" t="s">
        <v>108</v>
      </c>
      <c r="O17" s="312"/>
      <c r="P17" s="313"/>
    </row>
    <row r="18" spans="1:16" ht="33" customHeight="1">
      <c r="A18" s="6">
        <v>6</v>
      </c>
      <c r="B18" s="144" t="str">
        <f>IF('0 AVAL'!B41 = "", "", '0 AVAL'!B41)</f>
        <v/>
      </c>
      <c r="C18" s="144" t="str">
        <f>IF('0 AVAL'!C41 = "", "", '0 AVAL'!C41)</f>
        <v/>
      </c>
      <c r="D18" s="144"/>
      <c r="E18" s="131"/>
      <c r="F18" s="116"/>
      <c r="G18" s="312"/>
      <c r="H18" s="313"/>
      <c r="I18" s="147"/>
      <c r="J18" s="116"/>
      <c r="K18" s="312"/>
      <c r="L18" s="313"/>
      <c r="M18" s="147"/>
      <c r="N18" s="148" t="s">
        <v>108</v>
      </c>
      <c r="O18" s="312"/>
      <c r="P18" s="313"/>
    </row>
    <row r="19" spans="1:16" ht="33" customHeight="1">
      <c r="A19" s="6">
        <v>7</v>
      </c>
      <c r="B19" s="144" t="str">
        <f>IF('0 AVAL'!B42 = "", "", '0 AVAL'!B42)</f>
        <v/>
      </c>
      <c r="C19" s="144" t="str">
        <f>IF('0 AVAL'!C42 = "", "", '0 AVAL'!C42)</f>
        <v/>
      </c>
      <c r="D19" s="144"/>
      <c r="E19" s="131"/>
      <c r="F19" s="116"/>
      <c r="G19" s="312"/>
      <c r="H19" s="313"/>
      <c r="I19" s="147"/>
      <c r="J19" s="116"/>
      <c r="K19" s="312"/>
      <c r="L19" s="313"/>
      <c r="M19" s="147"/>
      <c r="N19" s="148" t="s">
        <v>108</v>
      </c>
      <c r="O19" s="312"/>
      <c r="P19" s="313"/>
    </row>
    <row r="20" spans="1:16" ht="33" customHeight="1">
      <c r="A20" s="6">
        <v>8</v>
      </c>
      <c r="B20" s="144" t="str">
        <f>IF('0 AVAL'!B43 = "", "", '0 AVAL'!B43)</f>
        <v/>
      </c>
      <c r="C20" s="144" t="str">
        <f>IF('0 AVAL'!C43 = "", "", '0 AVAL'!C43)</f>
        <v/>
      </c>
      <c r="D20" s="144"/>
      <c r="E20" s="131"/>
      <c r="F20" s="116"/>
      <c r="G20" s="312"/>
      <c r="H20" s="313"/>
      <c r="I20" s="147"/>
      <c r="J20" s="116"/>
      <c r="K20" s="312"/>
      <c r="L20" s="313"/>
      <c r="M20" s="147"/>
      <c r="N20" s="148" t="s">
        <v>108</v>
      </c>
      <c r="O20" s="312"/>
      <c r="P20" s="313"/>
    </row>
    <row r="21" spans="1:16" ht="33" customHeight="1">
      <c r="A21" s="6">
        <v>9</v>
      </c>
      <c r="B21" s="144" t="str">
        <f>IF('0 AVAL'!B44 = "", "", '0 AVAL'!B44)</f>
        <v/>
      </c>
      <c r="C21" s="144" t="str">
        <f>IF('0 AVAL'!C44 = "", "", '0 AVAL'!C44)</f>
        <v/>
      </c>
      <c r="D21" s="144"/>
      <c r="E21" s="131"/>
      <c r="F21" s="116"/>
      <c r="G21" s="312"/>
      <c r="H21" s="313"/>
      <c r="I21" s="147"/>
      <c r="J21" s="116"/>
      <c r="K21" s="312"/>
      <c r="L21" s="313"/>
      <c r="M21" s="147"/>
      <c r="N21" s="148" t="s">
        <v>108</v>
      </c>
      <c r="O21" s="312"/>
      <c r="P21" s="313"/>
    </row>
    <row r="22" spans="1:16" ht="33" customHeight="1">
      <c r="A22" s="6">
        <v>10</v>
      </c>
      <c r="B22" s="144" t="str">
        <f>IF('0 AVAL'!B45 = "", "", '0 AVAL'!B45)</f>
        <v/>
      </c>
      <c r="C22" s="144" t="str">
        <f>IF('0 AVAL'!C45 = "", "", '0 AVAL'!C45)</f>
        <v/>
      </c>
      <c r="D22" s="144"/>
      <c r="E22" s="131"/>
      <c r="F22" s="116"/>
      <c r="G22" s="312"/>
      <c r="H22" s="313"/>
      <c r="I22" s="147"/>
      <c r="J22" s="116"/>
      <c r="K22" s="312"/>
      <c r="L22" s="313"/>
      <c r="M22" s="147"/>
      <c r="N22" s="148" t="s">
        <v>108</v>
      </c>
      <c r="O22" s="312"/>
      <c r="P22" s="313"/>
    </row>
    <row r="23" spans="1:16" ht="33" customHeight="1">
      <c r="A23" s="6">
        <v>11</v>
      </c>
      <c r="B23" s="144" t="str">
        <f>IF('0 AVAL'!B46 = "", "", '0 AVAL'!B46)</f>
        <v/>
      </c>
      <c r="C23" s="144" t="str">
        <f>IF('0 AVAL'!C46 = "", "", '0 AVAL'!C46)</f>
        <v/>
      </c>
      <c r="D23" s="144"/>
      <c r="E23" s="131"/>
      <c r="F23" s="116"/>
      <c r="G23" s="312"/>
      <c r="H23" s="313"/>
      <c r="I23" s="147"/>
      <c r="J23" s="116"/>
      <c r="K23" s="312"/>
      <c r="L23" s="313"/>
      <c r="M23" s="147"/>
      <c r="N23" s="148" t="s">
        <v>108</v>
      </c>
      <c r="O23" s="312"/>
      <c r="P23" s="313"/>
    </row>
    <row r="24" spans="1:16" ht="33" customHeight="1">
      <c r="A24" s="6">
        <v>12</v>
      </c>
      <c r="B24" s="144" t="str">
        <f>IF('0 AVAL'!B47 = "", "", '0 AVAL'!B47)</f>
        <v/>
      </c>
      <c r="C24" s="144" t="str">
        <f>IF('0 AVAL'!C47 = "", "", '0 AVAL'!C47)</f>
        <v/>
      </c>
      <c r="D24" s="144"/>
      <c r="E24" s="131"/>
      <c r="F24" s="116"/>
      <c r="G24" s="312"/>
      <c r="H24" s="313"/>
      <c r="I24" s="147"/>
      <c r="J24" s="116"/>
      <c r="K24" s="312"/>
      <c r="L24" s="313"/>
      <c r="M24" s="147"/>
      <c r="N24" s="148" t="s">
        <v>108</v>
      </c>
      <c r="O24" s="312"/>
      <c r="P24" s="313"/>
    </row>
    <row r="25" spans="1:16" ht="33" customHeight="1">
      <c r="A25" s="6">
        <v>13</v>
      </c>
      <c r="B25" s="144" t="str">
        <f>IF('0 AVAL'!B48 = "", "", '0 AVAL'!B48)</f>
        <v/>
      </c>
      <c r="C25" s="144" t="str">
        <f>IF('0 AVAL'!C48 = "", "", '0 AVAL'!C48)</f>
        <v/>
      </c>
      <c r="D25" s="144"/>
      <c r="E25" s="131"/>
      <c r="F25" s="116"/>
      <c r="G25" s="312"/>
      <c r="H25" s="313"/>
      <c r="I25" s="147"/>
      <c r="J25" s="116"/>
      <c r="K25" s="312"/>
      <c r="L25" s="313"/>
      <c r="M25" s="147"/>
      <c r="N25" s="148" t="s">
        <v>108</v>
      </c>
      <c r="O25" s="312"/>
      <c r="P25" s="313"/>
    </row>
    <row r="26" spans="1:16" ht="33" customHeight="1">
      <c r="A26" s="6">
        <v>14</v>
      </c>
      <c r="B26" s="144" t="str">
        <f>IF('0 AVAL'!B49 = "", "", '0 AVAL'!B49)</f>
        <v/>
      </c>
      <c r="C26" s="144" t="str">
        <f>IF('0 AVAL'!C49 = "", "", '0 AVAL'!C49)</f>
        <v/>
      </c>
      <c r="D26" s="144"/>
      <c r="E26" s="131"/>
      <c r="F26" s="116"/>
      <c r="G26" s="312"/>
      <c r="H26" s="313"/>
      <c r="I26" s="147"/>
      <c r="J26" s="116"/>
      <c r="K26" s="312"/>
      <c r="L26" s="313"/>
      <c r="M26" s="147"/>
      <c r="N26" s="148" t="s">
        <v>108</v>
      </c>
      <c r="O26" s="312"/>
      <c r="P26" s="313"/>
    </row>
    <row r="27" spans="1:16" ht="33" customHeight="1">
      <c r="A27" s="6">
        <v>15</v>
      </c>
      <c r="B27" s="144" t="str">
        <f>IF('0 AVAL'!B50 = "", "", '0 AVAL'!B50)</f>
        <v/>
      </c>
      <c r="C27" s="144" t="str">
        <f>IF('0 AVAL'!C50 = "", "", '0 AVAL'!C50)</f>
        <v/>
      </c>
      <c r="D27" s="144"/>
      <c r="E27" s="131"/>
      <c r="F27" s="116"/>
      <c r="G27" s="312"/>
      <c r="H27" s="313"/>
      <c r="I27" s="147"/>
      <c r="J27" s="116"/>
      <c r="K27" s="312"/>
      <c r="L27" s="313"/>
      <c r="M27" s="147"/>
      <c r="N27" s="148" t="s">
        <v>108</v>
      </c>
      <c r="O27" s="312"/>
      <c r="P27" s="313"/>
    </row>
    <row r="28" spans="1:16" ht="33" customHeight="1">
      <c r="A28" s="6">
        <v>16</v>
      </c>
      <c r="B28" s="144" t="str">
        <f>IF('0 AVAL'!B51 = "", "", '0 AVAL'!B51)</f>
        <v/>
      </c>
      <c r="C28" s="144" t="str">
        <f>IF('0 AVAL'!C51 = "", "", '0 AVAL'!C51)</f>
        <v/>
      </c>
      <c r="D28" s="144"/>
      <c r="E28" s="131"/>
      <c r="F28" s="116"/>
      <c r="G28" s="312"/>
      <c r="H28" s="313"/>
      <c r="I28" s="147"/>
      <c r="J28" s="116"/>
      <c r="K28" s="312"/>
      <c r="L28" s="313"/>
      <c r="M28" s="147"/>
      <c r="N28" s="148" t="s">
        <v>108</v>
      </c>
      <c r="O28" s="312"/>
      <c r="P28" s="313"/>
    </row>
    <row r="29" spans="1:16" ht="33" customHeight="1">
      <c r="A29" s="6">
        <v>17</v>
      </c>
      <c r="B29" s="144" t="str">
        <f>IF('0 AVAL'!B52 = "", "", '0 AVAL'!B52)</f>
        <v/>
      </c>
      <c r="C29" s="144" t="str">
        <f>IF('0 AVAL'!C52 = "", "", '0 AVAL'!C52)</f>
        <v/>
      </c>
      <c r="D29" s="144"/>
      <c r="E29" s="131"/>
      <c r="F29" s="116"/>
      <c r="G29" s="312"/>
      <c r="H29" s="313"/>
      <c r="I29" s="147"/>
      <c r="J29" s="116"/>
      <c r="K29" s="312"/>
      <c r="L29" s="313"/>
      <c r="M29" s="147"/>
      <c r="N29" s="148" t="s">
        <v>108</v>
      </c>
      <c r="O29" s="312"/>
      <c r="P29" s="313"/>
    </row>
    <row r="30" spans="1:16" ht="33" customHeight="1">
      <c r="A30" s="6">
        <v>18</v>
      </c>
      <c r="B30" s="144" t="str">
        <f>IF('0 AVAL'!B53 = "", "", '0 AVAL'!B53)</f>
        <v/>
      </c>
      <c r="C30" s="144" t="str">
        <f>IF('0 AVAL'!C53 = "", "", '0 AVAL'!C53)</f>
        <v/>
      </c>
      <c r="D30" s="144"/>
      <c r="E30" s="131"/>
      <c r="F30" s="116"/>
      <c r="G30" s="312"/>
      <c r="H30" s="313"/>
      <c r="I30" s="147"/>
      <c r="J30" s="116"/>
      <c r="K30" s="312"/>
      <c r="L30" s="313"/>
      <c r="M30" s="147"/>
      <c r="N30" s="148" t="s">
        <v>108</v>
      </c>
      <c r="O30" s="312"/>
      <c r="P30" s="313"/>
    </row>
    <row r="31" spans="1:16" ht="33" customHeight="1">
      <c r="A31" s="6">
        <v>19</v>
      </c>
      <c r="B31" s="144" t="str">
        <f>IF('0 AVAL'!B54 = "", "", '0 AVAL'!B54)</f>
        <v/>
      </c>
      <c r="C31" s="144" t="str">
        <f>IF('0 AVAL'!C54 = "", "", '0 AVAL'!C54)</f>
        <v/>
      </c>
      <c r="D31" s="144"/>
      <c r="E31" s="131"/>
      <c r="F31" s="116"/>
      <c r="G31" s="312"/>
      <c r="H31" s="313"/>
      <c r="I31" s="147"/>
      <c r="J31" s="116"/>
      <c r="K31" s="312"/>
      <c r="L31" s="313"/>
      <c r="M31" s="147"/>
      <c r="N31" s="148" t="s">
        <v>108</v>
      </c>
      <c r="O31" s="312"/>
      <c r="P31" s="313"/>
    </row>
    <row r="32" spans="1:16" ht="33" customHeight="1">
      <c r="A32" s="6">
        <v>20</v>
      </c>
      <c r="B32" s="144" t="str">
        <f>IF('0 AVAL'!B55 = "", "", '0 AVAL'!B55)</f>
        <v/>
      </c>
      <c r="C32" s="144" t="str">
        <f>IF('0 AVAL'!C55 = "", "", '0 AVAL'!C55)</f>
        <v/>
      </c>
      <c r="D32" s="144"/>
      <c r="E32" s="131"/>
      <c r="F32" s="116"/>
      <c r="G32" s="312"/>
      <c r="H32" s="313"/>
      <c r="I32" s="147"/>
      <c r="J32" s="116"/>
      <c r="K32" s="312"/>
      <c r="L32" s="313"/>
      <c r="M32" s="147"/>
      <c r="N32" s="148" t="s">
        <v>108</v>
      </c>
      <c r="O32" s="312"/>
      <c r="P32" s="313"/>
    </row>
    <row r="33" spans="1:16" ht="33" customHeight="1">
      <c r="A33" s="6">
        <v>21</v>
      </c>
      <c r="B33" s="144" t="str">
        <f>IF('0 AVAL'!B56 = "", "", '0 AVAL'!B56)</f>
        <v/>
      </c>
      <c r="C33" s="144" t="str">
        <f>IF('0 AVAL'!C56 = "", "", '0 AVAL'!C56)</f>
        <v/>
      </c>
      <c r="D33" s="144"/>
      <c r="E33" s="131"/>
      <c r="F33" s="116"/>
      <c r="G33" s="312"/>
      <c r="H33" s="313"/>
      <c r="I33" s="147"/>
      <c r="J33" s="116"/>
      <c r="K33" s="312"/>
      <c r="L33" s="313"/>
      <c r="M33" s="147"/>
      <c r="N33" s="148" t="s">
        <v>108</v>
      </c>
      <c r="O33" s="312"/>
      <c r="P33" s="313"/>
    </row>
    <row r="34" spans="1:16" ht="33" customHeight="1">
      <c r="A34" s="6">
        <v>22</v>
      </c>
      <c r="B34" s="144" t="str">
        <f>IF('0 AVAL'!B57 = "", "", '0 AVAL'!B57)</f>
        <v/>
      </c>
      <c r="C34" s="144" t="str">
        <f>IF('0 AVAL'!C57 = "", "", '0 AVAL'!C57)</f>
        <v/>
      </c>
      <c r="D34" s="144"/>
      <c r="E34" s="131"/>
      <c r="F34" s="116"/>
      <c r="G34" s="312"/>
      <c r="H34" s="313"/>
      <c r="I34" s="147"/>
      <c r="J34" s="116"/>
      <c r="K34" s="312"/>
      <c r="L34" s="313"/>
      <c r="M34" s="147"/>
      <c r="N34" s="148" t="s">
        <v>108</v>
      </c>
      <c r="O34" s="312"/>
      <c r="P34" s="313"/>
    </row>
    <row r="35" spans="1:16" ht="33" customHeight="1">
      <c r="A35" s="6">
        <v>23</v>
      </c>
      <c r="B35" s="144" t="str">
        <f>IF('0 AVAL'!B58 = "", "", '0 AVAL'!B58)</f>
        <v/>
      </c>
      <c r="C35" s="144" t="str">
        <f>IF('0 AVAL'!C58 = "", "", '0 AVAL'!C58)</f>
        <v/>
      </c>
      <c r="D35" s="144"/>
      <c r="E35" s="131"/>
      <c r="F35" s="116"/>
      <c r="G35" s="312"/>
      <c r="H35" s="313"/>
      <c r="I35" s="147"/>
      <c r="J35" s="116"/>
      <c r="K35" s="312"/>
      <c r="L35" s="313"/>
      <c r="M35" s="147"/>
      <c r="N35" s="148" t="s">
        <v>108</v>
      </c>
      <c r="O35" s="312"/>
      <c r="P35" s="313"/>
    </row>
    <row r="36" spans="1:16" ht="33" customHeight="1">
      <c r="A36" s="6">
        <v>24</v>
      </c>
      <c r="B36" s="144" t="str">
        <f>IF('0 AVAL'!B59 = "", "", '0 AVAL'!B59)</f>
        <v/>
      </c>
      <c r="C36" s="144" t="str">
        <f>IF('0 AVAL'!C59 = "", "", '0 AVAL'!C59)</f>
        <v/>
      </c>
      <c r="D36" s="144"/>
      <c r="E36" s="131"/>
      <c r="F36" s="116"/>
      <c r="G36" s="312"/>
      <c r="H36" s="313"/>
      <c r="I36" s="147"/>
      <c r="J36" s="116"/>
      <c r="K36" s="312"/>
      <c r="L36" s="313"/>
      <c r="M36" s="147"/>
      <c r="N36" s="148" t="s">
        <v>108</v>
      </c>
      <c r="O36" s="312"/>
      <c r="P36" s="313"/>
    </row>
    <row r="37" spans="1:16" ht="33" customHeight="1">
      <c r="A37" s="6">
        <v>25</v>
      </c>
      <c r="B37" s="144" t="str">
        <f>IF('0 AVAL'!B60 = "", "", '0 AVAL'!B60)</f>
        <v/>
      </c>
      <c r="C37" s="144" t="str">
        <f>IF('0 AVAL'!C60 = "", "", '0 AVAL'!C60)</f>
        <v/>
      </c>
      <c r="D37" s="144"/>
      <c r="E37" s="131"/>
      <c r="F37" s="116"/>
      <c r="G37" s="312"/>
      <c r="H37" s="313"/>
      <c r="I37" s="147"/>
      <c r="J37" s="116"/>
      <c r="K37" s="312"/>
      <c r="L37" s="313"/>
      <c r="M37" s="147"/>
      <c r="N37" s="148" t="s">
        <v>108</v>
      </c>
      <c r="O37" s="312"/>
      <c r="P37" s="313"/>
    </row>
    <row r="38" spans="1:16" ht="33" customHeight="1">
      <c r="A38" s="6">
        <v>26</v>
      </c>
      <c r="B38" s="144" t="str">
        <f>IF('0 AVAL'!B61 = "", "", '0 AVAL'!B61)</f>
        <v/>
      </c>
      <c r="C38" s="144" t="str">
        <f>IF('0 AVAL'!C61 = "", "", '0 AVAL'!C61)</f>
        <v/>
      </c>
      <c r="D38" s="144"/>
      <c r="E38" s="131"/>
      <c r="F38" s="116"/>
      <c r="G38" s="312"/>
      <c r="H38" s="313"/>
      <c r="I38" s="147"/>
      <c r="J38" s="116"/>
      <c r="K38" s="312"/>
      <c r="L38" s="313"/>
      <c r="M38" s="147"/>
      <c r="N38" s="148" t="s">
        <v>108</v>
      </c>
      <c r="O38" s="312"/>
      <c r="P38" s="313"/>
    </row>
    <row r="39" spans="1:16" ht="33" customHeight="1">
      <c r="A39" s="6">
        <v>27</v>
      </c>
      <c r="B39" s="144" t="str">
        <f>IF('0 AVAL'!B62 = "", "", '0 AVAL'!B62)</f>
        <v/>
      </c>
      <c r="C39" s="144" t="str">
        <f>IF('0 AVAL'!C62 = "", "", '0 AVAL'!C62)</f>
        <v/>
      </c>
      <c r="D39" s="144"/>
      <c r="E39" s="131"/>
      <c r="F39" s="116"/>
      <c r="G39" s="312"/>
      <c r="H39" s="313"/>
      <c r="I39" s="147"/>
      <c r="J39" s="116"/>
      <c r="K39" s="312"/>
      <c r="L39" s="313"/>
      <c r="M39" s="147"/>
      <c r="N39" s="148" t="s">
        <v>108</v>
      </c>
      <c r="O39" s="312"/>
      <c r="P39" s="313"/>
    </row>
    <row r="40" spans="1:16" ht="33" customHeight="1">
      <c r="A40" s="6">
        <v>28</v>
      </c>
      <c r="B40" s="144" t="str">
        <f>IF('0 AVAL'!B63 = "", "", '0 AVAL'!B63)</f>
        <v/>
      </c>
      <c r="C40" s="144" t="str">
        <f>IF('0 AVAL'!C63 = "", "", '0 AVAL'!C63)</f>
        <v/>
      </c>
      <c r="D40" s="144"/>
      <c r="E40" s="131"/>
      <c r="F40" s="116"/>
      <c r="G40" s="312"/>
      <c r="H40" s="313"/>
      <c r="I40" s="147"/>
      <c r="J40" s="116"/>
      <c r="K40" s="312"/>
      <c r="L40" s="313"/>
      <c r="M40" s="147"/>
      <c r="N40" s="148" t="s">
        <v>108</v>
      </c>
      <c r="O40" s="312"/>
      <c r="P40" s="313"/>
    </row>
    <row r="41" spans="1:16" ht="33" customHeight="1">
      <c r="A41" s="6">
        <v>29</v>
      </c>
      <c r="B41" s="144" t="str">
        <f>IF('0 AVAL'!B64 = "", "", '0 AVAL'!B64)</f>
        <v/>
      </c>
      <c r="C41" s="144" t="str">
        <f>IF('0 AVAL'!C64 = "", "", '0 AVAL'!C64)</f>
        <v/>
      </c>
      <c r="D41" s="144"/>
      <c r="E41" s="131"/>
      <c r="F41" s="116"/>
      <c r="G41" s="312"/>
      <c r="H41" s="313"/>
      <c r="I41" s="147"/>
      <c r="J41" s="116"/>
      <c r="K41" s="312"/>
      <c r="L41" s="313"/>
      <c r="M41" s="147"/>
      <c r="N41" s="148" t="s">
        <v>108</v>
      </c>
      <c r="O41" s="312"/>
      <c r="P41" s="313"/>
    </row>
    <row r="42" spans="1:16" ht="33" customHeight="1">
      <c r="A42" s="6">
        <v>30</v>
      </c>
      <c r="B42" s="144" t="str">
        <f>IF('0 AVAL'!B65 = "", "", '0 AVAL'!B65)</f>
        <v/>
      </c>
      <c r="C42" s="144" t="str">
        <f>IF('0 AVAL'!C65 = "", "", '0 AVAL'!C65)</f>
        <v/>
      </c>
      <c r="D42" s="144"/>
      <c r="E42" s="131"/>
      <c r="F42" s="116"/>
      <c r="G42" s="312"/>
      <c r="H42" s="313"/>
      <c r="I42" s="147"/>
      <c r="J42" s="116"/>
      <c r="K42" s="312"/>
      <c r="L42" s="313"/>
      <c r="M42" s="147"/>
      <c r="N42" s="148" t="s">
        <v>108</v>
      </c>
      <c r="O42" s="312"/>
      <c r="P42" s="313"/>
    </row>
    <row r="43" spans="1:16" ht="33" customHeight="1">
      <c r="A43" s="6">
        <v>31</v>
      </c>
      <c r="B43" s="144" t="str">
        <f>IF('0 AVAL'!B66 = "", "", '0 AVAL'!B66)</f>
        <v/>
      </c>
      <c r="C43" s="144" t="str">
        <f>IF('0 AVAL'!C66 = "", "", '0 AVAL'!C66)</f>
        <v/>
      </c>
      <c r="D43" s="144"/>
      <c r="E43" s="131"/>
      <c r="F43" s="116"/>
      <c r="G43" s="117"/>
      <c r="H43" s="118"/>
      <c r="I43" s="147"/>
      <c r="J43" s="116"/>
      <c r="K43" s="117"/>
      <c r="L43" s="118"/>
      <c r="M43" s="147"/>
      <c r="N43" s="148" t="s">
        <v>108</v>
      </c>
      <c r="O43" s="117"/>
      <c r="P43" s="118"/>
    </row>
    <row r="44" spans="1:16" ht="33" customHeight="1">
      <c r="A44" s="6">
        <v>32</v>
      </c>
      <c r="B44" s="144" t="str">
        <f>IF('0 AVAL'!B67 = "", "", '0 AVAL'!B67)</f>
        <v/>
      </c>
      <c r="C44" s="144" t="str">
        <f>IF('0 AVAL'!C67 = "", "", '0 AVAL'!C67)</f>
        <v/>
      </c>
      <c r="D44" s="144"/>
      <c r="E44" s="131"/>
      <c r="F44" s="116"/>
      <c r="G44" s="117"/>
      <c r="H44" s="118"/>
      <c r="I44" s="147"/>
      <c r="J44" s="116"/>
      <c r="K44" s="117"/>
      <c r="L44" s="118"/>
      <c r="M44" s="147"/>
      <c r="N44" s="148" t="s">
        <v>108</v>
      </c>
      <c r="O44" s="117"/>
      <c r="P44" s="118"/>
    </row>
    <row r="45" spans="1:16" ht="33" customHeight="1">
      <c r="A45" s="6">
        <v>33</v>
      </c>
      <c r="B45" s="144" t="str">
        <f>IF('0 AVAL'!B68 = "", "", '0 AVAL'!B68)</f>
        <v/>
      </c>
      <c r="C45" s="144" t="str">
        <f>IF('0 AVAL'!C68 = "", "", '0 AVAL'!C68)</f>
        <v/>
      </c>
      <c r="D45" s="144"/>
      <c r="E45" s="131"/>
      <c r="F45" s="116"/>
      <c r="G45" s="117"/>
      <c r="H45" s="118"/>
      <c r="I45" s="147"/>
      <c r="J45" s="116"/>
      <c r="K45" s="117"/>
      <c r="L45" s="118"/>
      <c r="M45" s="147"/>
      <c r="N45" s="148" t="s">
        <v>108</v>
      </c>
      <c r="O45" s="117"/>
      <c r="P45" s="118"/>
    </row>
    <row r="46" spans="1:16" ht="33" customHeight="1">
      <c r="A46" s="6">
        <v>34</v>
      </c>
      <c r="B46" s="144" t="str">
        <f>IF('0 AVAL'!B69 = "", "", '0 AVAL'!B69)</f>
        <v/>
      </c>
      <c r="C46" s="144" t="str">
        <f>IF('0 AVAL'!C69 = "", "", '0 AVAL'!C69)</f>
        <v/>
      </c>
      <c r="D46" s="144"/>
      <c r="E46" s="131"/>
      <c r="F46" s="116"/>
      <c r="G46" s="117"/>
      <c r="H46" s="118"/>
      <c r="I46" s="147"/>
      <c r="J46" s="116"/>
      <c r="K46" s="117"/>
      <c r="L46" s="118"/>
      <c r="M46" s="147"/>
      <c r="N46" s="148" t="s">
        <v>108</v>
      </c>
      <c r="O46" s="117"/>
      <c r="P46" s="118"/>
    </row>
    <row r="47" spans="1:16" ht="33" customHeight="1">
      <c r="A47" s="6">
        <v>35</v>
      </c>
      <c r="B47" s="144" t="str">
        <f>IF('0 AVAL'!B70 = "", "", '0 AVAL'!B70)</f>
        <v/>
      </c>
      <c r="C47" s="144" t="str">
        <f>IF('0 AVAL'!C70 = "", "", '0 AVAL'!C70)</f>
        <v/>
      </c>
      <c r="D47" s="144"/>
      <c r="E47" s="131"/>
      <c r="F47" s="116"/>
      <c r="G47" s="117"/>
      <c r="H47" s="118"/>
      <c r="I47" s="147"/>
      <c r="J47" s="116"/>
      <c r="K47" s="117"/>
      <c r="L47" s="118"/>
      <c r="M47" s="147"/>
      <c r="N47" s="148" t="s">
        <v>108</v>
      </c>
      <c r="O47" s="117"/>
      <c r="P47" s="118"/>
    </row>
    <row r="48" spans="1:16" ht="33" customHeight="1">
      <c r="A48" s="6">
        <v>36</v>
      </c>
      <c r="B48" s="144" t="str">
        <f>IF('0 AVAL'!B71 = "", "", '0 AVAL'!B71)</f>
        <v/>
      </c>
      <c r="C48" s="144" t="str">
        <f>IF('0 AVAL'!C71 = "", "", '0 AVAL'!C71)</f>
        <v/>
      </c>
      <c r="D48" s="144"/>
      <c r="E48" s="131"/>
      <c r="F48" s="116"/>
      <c r="G48" s="312"/>
      <c r="H48" s="313"/>
      <c r="I48" s="147"/>
      <c r="J48" s="116"/>
      <c r="K48" s="312"/>
      <c r="L48" s="313"/>
      <c r="M48" s="147"/>
      <c r="N48" s="148" t="s">
        <v>108</v>
      </c>
      <c r="O48" s="312"/>
      <c r="P48" s="313"/>
    </row>
    <row r="49" spans="1:16" ht="33" customHeight="1">
      <c r="A49" s="6">
        <v>37</v>
      </c>
      <c r="B49" s="144" t="str">
        <f>IF('0 AVAL'!B72 = "", "", '0 AVAL'!B72)</f>
        <v/>
      </c>
      <c r="C49" s="144" t="str">
        <f>IF('0 AVAL'!C72 = "", "", '0 AVAL'!C72)</f>
        <v/>
      </c>
      <c r="D49" s="144"/>
      <c r="E49" s="131"/>
      <c r="F49" s="116"/>
      <c r="G49" s="312"/>
      <c r="H49" s="313"/>
      <c r="I49" s="147"/>
      <c r="J49" s="116"/>
      <c r="K49" s="312"/>
      <c r="L49" s="313"/>
      <c r="M49" s="147"/>
      <c r="N49" s="148" t="s">
        <v>108</v>
      </c>
      <c r="O49" s="312"/>
      <c r="P49" s="313"/>
    </row>
    <row r="50" spans="1:16" ht="33" customHeight="1">
      <c r="A50" s="6">
        <v>38</v>
      </c>
      <c r="B50" s="144" t="str">
        <f>IF('0 AVAL'!B73 = "", "", '0 AVAL'!B73)</f>
        <v/>
      </c>
      <c r="C50" s="144" t="str">
        <f>IF('0 AVAL'!C73 = "", "", '0 AVAL'!C73)</f>
        <v/>
      </c>
      <c r="D50" s="144"/>
      <c r="E50" s="131"/>
      <c r="F50" s="116"/>
      <c r="G50" s="312"/>
      <c r="H50" s="313"/>
      <c r="I50" s="147"/>
      <c r="J50" s="116"/>
      <c r="K50" s="312"/>
      <c r="L50" s="313"/>
      <c r="M50" s="147"/>
      <c r="N50" s="148" t="s">
        <v>108</v>
      </c>
      <c r="O50" s="312"/>
      <c r="P50" s="313"/>
    </row>
    <row r="51" spans="1:16" ht="40.5" customHeight="1">
      <c r="A51" s="6">
        <v>39</v>
      </c>
      <c r="B51" s="144" t="str">
        <f>IF('0 AVAL'!B74 = "", "", '0 AVAL'!B74)</f>
        <v/>
      </c>
      <c r="C51" s="144" t="str">
        <f>IF('0 AVAL'!C74 = "", "", '0 AVAL'!C74)</f>
        <v/>
      </c>
      <c r="D51" s="144"/>
      <c r="E51" s="131"/>
      <c r="F51" s="116"/>
      <c r="G51" s="312"/>
      <c r="H51" s="313"/>
      <c r="I51" s="147"/>
      <c r="J51" s="116"/>
      <c r="K51" s="312"/>
      <c r="L51" s="313"/>
      <c r="M51" s="147"/>
      <c r="N51" s="148" t="s">
        <v>108</v>
      </c>
      <c r="O51" s="312"/>
      <c r="P51" s="313"/>
    </row>
    <row r="52" spans="1:16" ht="40.5" customHeight="1" thickBot="1">
      <c r="A52" s="6">
        <v>40</v>
      </c>
      <c r="B52" s="144" t="str">
        <f>IF('0 AVAL'!B75 = "", "", '0 AVAL'!B75)</f>
        <v/>
      </c>
      <c r="C52" s="144" t="str">
        <f>IF('0 AVAL'!C75 = "", "", '0 AVAL'!C75)</f>
        <v/>
      </c>
      <c r="D52" s="144"/>
      <c r="E52" s="131"/>
      <c r="F52" s="125"/>
      <c r="G52" s="323"/>
      <c r="H52" s="324"/>
      <c r="I52" s="147"/>
      <c r="J52" s="125"/>
      <c r="K52" s="323"/>
      <c r="L52" s="324"/>
      <c r="M52" s="147"/>
      <c r="N52" s="150" t="s">
        <v>108</v>
      </c>
      <c r="O52" s="323"/>
      <c r="P52" s="324"/>
    </row>
    <row r="53" spans="1:16" ht="27" customHeight="1"/>
    <row r="54" spans="1:16" ht="40.5" customHeight="1">
      <c r="B54" s="268" t="s">
        <v>110</v>
      </c>
      <c r="C54" s="269"/>
      <c r="D54" s="269"/>
      <c r="E54" s="269"/>
      <c r="F54" s="269"/>
      <c r="G54" s="269"/>
      <c r="H54" s="269"/>
      <c r="I54" s="269"/>
      <c r="J54" s="269"/>
      <c r="K54" s="332"/>
      <c r="L54" s="332"/>
      <c r="M54" s="332"/>
      <c r="N54" s="332"/>
      <c r="O54" s="332"/>
      <c r="P54" s="332"/>
    </row>
    <row r="55" spans="1:16" s="29" customFormat="1" ht="30.75" customHeight="1">
      <c r="A55" s="129">
        <v>1</v>
      </c>
      <c r="B55" s="325"/>
      <c r="C55" s="325"/>
      <c r="D55" s="325"/>
      <c r="E55" s="325"/>
      <c r="F55" s="325"/>
      <c r="G55" s="325"/>
      <c r="H55" s="325"/>
      <c r="I55" s="325"/>
      <c r="J55" s="325"/>
      <c r="K55" s="333" t="s">
        <v>70</v>
      </c>
      <c r="L55" s="334"/>
      <c r="M55" s="334"/>
      <c r="N55" s="334"/>
      <c r="O55" s="334"/>
      <c r="P55" s="335"/>
    </row>
    <row r="56" spans="1:16" s="29" customFormat="1" ht="30.75" customHeight="1">
      <c r="A56" s="129">
        <v>2</v>
      </c>
      <c r="B56" s="325"/>
      <c r="C56" s="325"/>
      <c r="D56" s="325"/>
      <c r="E56" s="325"/>
      <c r="F56" s="325"/>
      <c r="G56" s="325"/>
      <c r="H56" s="325"/>
      <c r="I56" s="325"/>
      <c r="J56" s="325"/>
      <c r="K56" s="290"/>
      <c r="L56" s="291"/>
      <c r="M56" s="291"/>
      <c r="N56" s="291"/>
      <c r="O56" s="291"/>
      <c r="P56" s="292"/>
    </row>
    <row r="57" spans="1:16" s="29" customFormat="1" ht="30.75" customHeight="1">
      <c r="A57" s="129">
        <v>3</v>
      </c>
      <c r="B57" s="325"/>
      <c r="C57" s="325"/>
      <c r="D57" s="325"/>
      <c r="E57" s="325"/>
      <c r="F57" s="325"/>
      <c r="G57" s="325"/>
      <c r="H57" s="325"/>
      <c r="I57" s="325"/>
      <c r="J57" s="325"/>
      <c r="K57" s="290"/>
      <c r="L57" s="291"/>
      <c r="M57" s="291"/>
      <c r="N57" s="291"/>
      <c r="O57" s="291"/>
      <c r="P57" s="292"/>
    </row>
    <row r="58" spans="1:16" s="29" customFormat="1" ht="30.75" customHeight="1">
      <c r="A58" s="129">
        <v>4</v>
      </c>
      <c r="B58" s="325"/>
      <c r="C58" s="325"/>
      <c r="D58" s="325"/>
      <c r="E58" s="325"/>
      <c r="F58" s="325"/>
      <c r="G58" s="325"/>
      <c r="H58" s="325"/>
      <c r="I58" s="325"/>
      <c r="J58" s="325"/>
      <c r="K58" s="290"/>
      <c r="L58" s="291"/>
      <c r="M58" s="291"/>
      <c r="N58" s="291"/>
      <c r="O58" s="291"/>
      <c r="P58" s="292"/>
    </row>
    <row r="59" spans="1:16" s="29" customFormat="1" ht="30.75" customHeight="1">
      <c r="A59" s="129">
        <v>5</v>
      </c>
      <c r="B59" s="325"/>
      <c r="C59" s="325"/>
      <c r="D59" s="325"/>
      <c r="E59" s="325"/>
      <c r="F59" s="325"/>
      <c r="G59" s="325"/>
      <c r="H59" s="325"/>
      <c r="I59" s="325"/>
      <c r="J59" s="325"/>
      <c r="K59" s="290"/>
      <c r="L59" s="291"/>
      <c r="M59" s="291"/>
      <c r="N59" s="291"/>
      <c r="O59" s="291"/>
      <c r="P59" s="292"/>
    </row>
    <row r="60" spans="1:16" s="29" customFormat="1" ht="30.75" customHeight="1">
      <c r="A60" s="129">
        <v>6</v>
      </c>
      <c r="B60" s="325"/>
      <c r="C60" s="325"/>
      <c r="D60" s="325"/>
      <c r="E60" s="325"/>
      <c r="F60" s="325"/>
      <c r="G60" s="325"/>
      <c r="H60" s="325"/>
      <c r="I60" s="325"/>
      <c r="J60" s="325"/>
      <c r="K60" s="290"/>
      <c r="L60" s="291"/>
      <c r="M60" s="291"/>
      <c r="N60" s="291"/>
      <c r="O60" s="291"/>
      <c r="P60" s="292"/>
    </row>
    <row r="61" spans="1:16" s="29" customFormat="1" ht="30.75" customHeight="1" thickBot="1">
      <c r="A61" s="129">
        <v>7</v>
      </c>
      <c r="B61" s="319"/>
      <c r="C61" s="319"/>
      <c r="D61" s="319"/>
      <c r="E61" s="319"/>
      <c r="F61" s="319"/>
      <c r="G61" s="319"/>
      <c r="H61" s="319"/>
      <c r="I61" s="319"/>
      <c r="J61" s="319"/>
      <c r="K61" s="336"/>
      <c r="L61" s="337"/>
      <c r="M61" s="337"/>
      <c r="N61" s="337"/>
      <c r="O61" s="337"/>
      <c r="P61" s="338"/>
    </row>
    <row r="62" spans="1:16" ht="36.75" customHeight="1">
      <c r="B62" s="320" t="s">
        <v>71</v>
      </c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151"/>
      <c r="P62" s="151"/>
    </row>
  </sheetData>
  <mergeCells count="128">
    <mergeCell ref="B62:N62"/>
    <mergeCell ref="B54:P54"/>
    <mergeCell ref="B55:J55"/>
    <mergeCell ref="K55:P61"/>
    <mergeCell ref="B56:J56"/>
    <mergeCell ref="B57:J57"/>
    <mergeCell ref="B58:J58"/>
    <mergeCell ref="B59:J59"/>
    <mergeCell ref="B60:J60"/>
    <mergeCell ref="B61:J61"/>
    <mergeCell ref="G51:H51"/>
    <mergeCell ref="K51:L51"/>
    <mergeCell ref="O51:P51"/>
    <mergeCell ref="G52:H52"/>
    <mergeCell ref="K52:L52"/>
    <mergeCell ref="O52:P52"/>
    <mergeCell ref="G49:H49"/>
    <mergeCell ref="K49:L49"/>
    <mergeCell ref="O49:P49"/>
    <mergeCell ref="G50:H50"/>
    <mergeCell ref="K50:L50"/>
    <mergeCell ref="O50:P50"/>
    <mergeCell ref="G42:H42"/>
    <mergeCell ref="K42:L42"/>
    <mergeCell ref="O42:P42"/>
    <mergeCell ref="G48:H48"/>
    <mergeCell ref="K48:L48"/>
    <mergeCell ref="O48:P48"/>
    <mergeCell ref="G40:H40"/>
    <mergeCell ref="K40:L40"/>
    <mergeCell ref="O40:P40"/>
    <mergeCell ref="G41:H41"/>
    <mergeCell ref="K41:L41"/>
    <mergeCell ref="O41:P41"/>
    <mergeCell ref="G38:H38"/>
    <mergeCell ref="K38:L38"/>
    <mergeCell ref="O38:P38"/>
    <mergeCell ref="G39:H39"/>
    <mergeCell ref="K39:L39"/>
    <mergeCell ref="O39:P39"/>
    <mergeCell ref="G36:H36"/>
    <mergeCell ref="K36:L36"/>
    <mergeCell ref="O36:P36"/>
    <mergeCell ref="G37:H37"/>
    <mergeCell ref="K37:L37"/>
    <mergeCell ref="O37:P37"/>
    <mergeCell ref="G34:H34"/>
    <mergeCell ref="K34:L34"/>
    <mergeCell ref="O34:P34"/>
    <mergeCell ref="G35:H35"/>
    <mergeCell ref="K35:L35"/>
    <mergeCell ref="O35:P35"/>
    <mergeCell ref="G32:H32"/>
    <mergeCell ref="K32:L32"/>
    <mergeCell ref="O32:P32"/>
    <mergeCell ref="G33:H33"/>
    <mergeCell ref="K33:L33"/>
    <mergeCell ref="O33:P33"/>
    <mergeCell ref="G30:H30"/>
    <mergeCell ref="K30:L30"/>
    <mergeCell ref="O30:P30"/>
    <mergeCell ref="G31:H31"/>
    <mergeCell ref="K31:L31"/>
    <mergeCell ref="O31:P31"/>
    <mergeCell ref="G28:H28"/>
    <mergeCell ref="K28:L28"/>
    <mergeCell ref="O28:P28"/>
    <mergeCell ref="G29:H29"/>
    <mergeCell ref="K29:L29"/>
    <mergeCell ref="O29:P29"/>
    <mergeCell ref="G26:H26"/>
    <mergeCell ref="K26:L26"/>
    <mergeCell ref="O26:P26"/>
    <mergeCell ref="G27:H27"/>
    <mergeCell ref="K27:L27"/>
    <mergeCell ref="O27:P27"/>
    <mergeCell ref="G24:H24"/>
    <mergeCell ref="K24:L24"/>
    <mergeCell ref="O24:P24"/>
    <mergeCell ref="G25:H25"/>
    <mergeCell ref="K25:L25"/>
    <mergeCell ref="O25:P25"/>
    <mergeCell ref="G22:H22"/>
    <mergeCell ref="K22:L22"/>
    <mergeCell ref="O22:P22"/>
    <mergeCell ref="G23:H23"/>
    <mergeCell ref="K23:L23"/>
    <mergeCell ref="O23:P23"/>
    <mergeCell ref="G20:H20"/>
    <mergeCell ref="K20:L20"/>
    <mergeCell ref="O20:P20"/>
    <mergeCell ref="G21:H21"/>
    <mergeCell ref="K21:L21"/>
    <mergeCell ref="O21:P21"/>
    <mergeCell ref="G18:H18"/>
    <mergeCell ref="K18:L18"/>
    <mergeCell ref="O18:P18"/>
    <mergeCell ref="G19:H19"/>
    <mergeCell ref="K19:L19"/>
    <mergeCell ref="O19:P19"/>
    <mergeCell ref="G16:H16"/>
    <mergeCell ref="K16:L16"/>
    <mergeCell ref="O16:P16"/>
    <mergeCell ref="G17:H17"/>
    <mergeCell ref="K17:L17"/>
    <mergeCell ref="O17:P17"/>
    <mergeCell ref="G14:H14"/>
    <mergeCell ref="K14:L14"/>
    <mergeCell ref="O14:P14"/>
    <mergeCell ref="G15:H15"/>
    <mergeCell ref="K15:L15"/>
    <mergeCell ref="O15:P15"/>
    <mergeCell ref="K8:N8"/>
    <mergeCell ref="G12:H12"/>
    <mergeCell ref="K12:L12"/>
    <mergeCell ref="O12:P12"/>
    <mergeCell ref="G13:H13"/>
    <mergeCell ref="K13:L13"/>
    <mergeCell ref="O13:P13"/>
    <mergeCell ref="B2:C7"/>
    <mergeCell ref="D2:G7"/>
    <mergeCell ref="H2:H7"/>
    <mergeCell ref="K2:Q2"/>
    <mergeCell ref="K3:N3"/>
    <mergeCell ref="K4:N4"/>
    <mergeCell ref="K5:N5"/>
    <mergeCell ref="K6:N6"/>
    <mergeCell ref="K7:N7"/>
  </mergeCells>
  <conditionalFormatting sqref="F13:F52">
    <cfRule type="cellIs" dxfId="18" priority="5" operator="equal">
      <formula>"Sí"</formula>
    </cfRule>
  </conditionalFormatting>
  <conditionalFormatting sqref="F13:G52">
    <cfRule type="cellIs" dxfId="17" priority="6" operator="equal">
      <formula>"No"</formula>
    </cfRule>
  </conditionalFormatting>
  <conditionalFormatting sqref="J13:J52">
    <cfRule type="cellIs" dxfId="16" priority="3" operator="equal">
      <formula>"Sí"</formula>
    </cfRule>
  </conditionalFormatting>
  <conditionalFormatting sqref="J13:K52">
    <cfRule type="cellIs" dxfId="15" priority="4" operator="equal">
      <formula>"No"</formula>
    </cfRule>
  </conditionalFormatting>
  <conditionalFormatting sqref="N13:N52">
    <cfRule type="cellIs" dxfId="14" priority="2" operator="equal">
      <formula>"Sí"</formula>
    </cfRule>
  </conditionalFormatting>
  <conditionalFormatting sqref="N13:O52">
    <cfRule type="cellIs" dxfId="13" priority="1" operator="equal">
      <formula>"No"</formula>
    </cfRule>
  </conditionalFormatting>
  <dataValidations count="2">
    <dataValidation allowBlank="1" showInputMessage="1" showErrorMessage="1" sqref="K7:N7" xr:uid="{7B5AA4E2-A785-440D-A2AE-FADB60F26401}"/>
    <dataValidation type="date" allowBlank="1" showInputMessage="1" showErrorMessage="1" sqref="K8:P8" xr:uid="{66FDAD70-9072-482E-A2DD-1BC306878DFD}">
      <formula1>45170</formula1>
      <formula2>47664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8808-8353-4E23-85A1-9C24FDC6BCE1}">
  <sheetPr>
    <tabColor theme="4" tint="-0.249977111117893"/>
  </sheetPr>
  <dimension ref="A1:FY99"/>
  <sheetViews>
    <sheetView topLeftCell="I19" workbookViewId="0">
      <selection activeCell="M33" sqref="M33:N33"/>
    </sheetView>
  </sheetViews>
  <sheetFormatPr baseColWidth="10" defaultColWidth="0" defaultRowHeight="15.75" zeroHeight="1"/>
  <cols>
    <col min="1" max="1" width="3.265625" style="1" customWidth="1"/>
    <col min="2" max="2" width="21.73046875" style="1" customWidth="1"/>
    <col min="3" max="3" width="28.265625" style="1" customWidth="1"/>
    <col min="4" max="5" width="12.59765625" style="1" customWidth="1"/>
    <col min="6" max="7" width="10.1328125" style="1" customWidth="1"/>
    <col min="8" max="8" width="14.1328125" style="1" customWidth="1"/>
    <col min="9" max="9" width="16.73046875" style="1" customWidth="1"/>
    <col min="10" max="10" width="18" style="1" customWidth="1"/>
    <col min="11" max="11" width="15.86328125" style="1" customWidth="1"/>
    <col min="12" max="14" width="12.59765625" style="1" customWidth="1"/>
    <col min="15" max="22" width="0" style="1" hidden="1"/>
    <col min="23" max="181" width="4.3984375" style="1" hidden="1"/>
    <col min="182" max="16382" width="0" style="1" hidden="1"/>
    <col min="16383" max="16383" width="3.1328125" style="1" customWidth="1"/>
    <col min="16384" max="16384" width="7.73046875" style="1" customWidth="1"/>
  </cols>
  <sheetData>
    <row r="1" spans="2:14" ht="15.75" customHeight="1">
      <c r="B1" s="29"/>
      <c r="C1" s="29"/>
      <c r="D1" s="29"/>
      <c r="E1" s="29"/>
      <c r="F1" s="29"/>
      <c r="G1" s="29"/>
      <c r="H1" s="29"/>
      <c r="I1" s="30" t="s">
        <v>0</v>
      </c>
      <c r="J1" s="30"/>
      <c r="K1" s="30"/>
      <c r="L1" s="31"/>
      <c r="M1" s="30"/>
    </row>
    <row r="2" spans="2:14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2:14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14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14" ht="15.75" customHeight="1">
      <c r="B5" s="197"/>
      <c r="C5" s="197"/>
      <c r="D5" s="197"/>
      <c r="E5" s="197"/>
      <c r="F5" s="197"/>
      <c r="G5" s="197"/>
      <c r="H5" s="32"/>
      <c r="I5" s="71" t="s">
        <v>3</v>
      </c>
      <c r="J5" s="198" t="str">
        <f>INDEX!G5</f>
        <v>2025-2026</v>
      </c>
      <c r="K5" s="198"/>
      <c r="L5" s="198"/>
      <c r="M5" s="198"/>
    </row>
    <row r="6" spans="2:14" ht="15.75" customHeight="1" thickBot="1">
      <c r="B6" s="197"/>
      <c r="C6" s="197"/>
      <c r="D6" s="197"/>
      <c r="E6" s="197"/>
      <c r="F6" s="197"/>
      <c r="G6" s="197"/>
      <c r="H6" s="32"/>
      <c r="I6" s="72" t="s">
        <v>27</v>
      </c>
      <c r="J6" s="199" t="s">
        <v>116</v>
      </c>
      <c r="K6" s="199"/>
      <c r="L6" s="199"/>
      <c r="M6" s="199"/>
    </row>
    <row r="7" spans="2:14">
      <c r="B7" s="29"/>
      <c r="C7" s="29"/>
      <c r="D7" s="32"/>
      <c r="E7" s="32"/>
      <c r="F7" s="32"/>
      <c r="G7" s="32"/>
      <c r="H7" s="32"/>
      <c r="I7" s="1" t="s">
        <v>97</v>
      </c>
      <c r="J7" s="249"/>
      <c r="K7" s="298"/>
      <c r="L7" s="298"/>
      <c r="M7" s="298"/>
    </row>
    <row r="8" spans="2:14"/>
    <row r="9" spans="2:14" s="37" customFormat="1" ht="21">
      <c r="B9" s="196" t="s">
        <v>30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14"/>
    <row r="11" spans="2:14" ht="15.6" customHeight="1">
      <c r="B11" s="250" t="s">
        <v>31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</row>
    <row r="12" spans="2:14" ht="56.25" customHeight="1">
      <c r="B12" s="245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7"/>
      <c r="N12" s="1" t="s">
        <v>108</v>
      </c>
    </row>
    <row r="13" spans="2:14" ht="27" customHeight="1"/>
    <row r="14" spans="2:14">
      <c r="B14" s="339" t="s">
        <v>32</v>
      </c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39"/>
    </row>
    <row r="15" spans="2:14" ht="56.25" customHeight="1">
      <c r="B15" s="245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7"/>
    </row>
    <row r="16" spans="2:14" ht="27" customHeight="1"/>
    <row r="17" spans="2:14">
      <c r="B17" s="339" t="s">
        <v>72</v>
      </c>
      <c r="C17" s="339"/>
      <c r="D17" s="339"/>
      <c r="E17" s="339"/>
      <c r="F17" s="339"/>
      <c r="G17" s="339"/>
      <c r="H17" s="339"/>
      <c r="I17" s="339"/>
      <c r="J17" s="339"/>
      <c r="K17" s="339"/>
      <c r="L17" s="339"/>
      <c r="M17" s="339"/>
    </row>
    <row r="18" spans="2:14" ht="56.25" customHeight="1">
      <c r="B18" s="245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7"/>
    </row>
    <row r="19" spans="2:14" ht="27" customHeight="1"/>
    <row r="20" spans="2:14" s="37" customFormat="1" ht="21">
      <c r="B20" s="196" t="s">
        <v>34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2:14">
      <c r="B21" s="1" t="s">
        <v>35</v>
      </c>
    </row>
    <row r="22" spans="2:14" ht="56.25" customHeight="1">
      <c r="B22" s="245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7"/>
    </row>
    <row r="23" spans="2:14" ht="27" customHeight="1"/>
    <row r="24" spans="2:14" s="37" customFormat="1" ht="21">
      <c r="B24" s="196" t="s">
        <v>73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</row>
    <row r="25" spans="2:14">
      <c r="B25" s="74" t="s">
        <v>74</v>
      </c>
      <c r="L25" s="75"/>
      <c r="M25" s="75"/>
      <c r="N25" s="75"/>
    </row>
    <row r="26" spans="2:14" ht="21" customHeight="1">
      <c r="D26" s="152" t="s">
        <v>87</v>
      </c>
      <c r="F26" s="153"/>
      <c r="L26" s="152" t="s">
        <v>87</v>
      </c>
      <c r="M26" s="152" t="s">
        <v>40</v>
      </c>
      <c r="N26" s="152" t="s">
        <v>117</v>
      </c>
    </row>
    <row r="27" spans="2:14" ht="21" customHeight="1">
      <c r="C27" s="94" t="s">
        <v>75</v>
      </c>
      <c r="D27" s="54">
        <f>COUNTIFS($C$39:$C$78,"&lt;&gt;",$D$39:$D$78,"&lt;&gt;Baixa")-COUNTBLANK($C$39:$C$78)</f>
        <v>0</v>
      </c>
      <c r="E27" s="78" t="s">
        <v>40</v>
      </c>
      <c r="G27" s="340" t="s">
        <v>118</v>
      </c>
      <c r="H27" s="340"/>
      <c r="I27" s="340"/>
      <c r="J27" s="340"/>
      <c r="K27" s="340"/>
      <c r="L27" s="80">
        <v>0</v>
      </c>
      <c r="M27" s="79" t="str">
        <f>IFERROR(L27/$D$27,"-")</f>
        <v>-</v>
      </c>
      <c r="N27" s="154" t="str">
        <f>IFERROR(L27/$D$31,"-")</f>
        <v>-</v>
      </c>
    </row>
    <row r="28" spans="2:14" ht="21" customHeight="1">
      <c r="C28" s="94" t="s">
        <v>43</v>
      </c>
      <c r="D28" s="54">
        <f>COUNTIFS($D$39:$D$78,"Baixa")</f>
        <v>0</v>
      </c>
      <c r="E28" s="79" t="str">
        <f>IFERROR(D28/$D$27,"-")</f>
        <v>-</v>
      </c>
      <c r="F28" s="155"/>
      <c r="G28" s="340" t="s">
        <v>119</v>
      </c>
      <c r="H28" s="340"/>
      <c r="I28" s="340"/>
      <c r="J28" s="340"/>
      <c r="K28" s="340"/>
      <c r="L28" s="80">
        <v>0</v>
      </c>
      <c r="M28" s="79" t="str">
        <f>IFERROR(L28/$D$27,"-")</f>
        <v>-</v>
      </c>
      <c r="N28" s="154" t="str">
        <f>IFERROR(L28/$D$31,"-")</f>
        <v>-</v>
      </c>
    </row>
    <row r="29" spans="2:14" ht="21" customHeight="1">
      <c r="C29" s="94" t="s">
        <v>77</v>
      </c>
      <c r="D29" s="56">
        <v>0</v>
      </c>
      <c r="E29" s="79" t="str">
        <f t="shared" ref="E29:E32" si="0">IFERROR(D29/$D$27,"-")</f>
        <v>-</v>
      </c>
      <c r="G29" s="340" t="s">
        <v>120</v>
      </c>
      <c r="H29" s="340"/>
      <c r="I29" s="340"/>
      <c r="J29" s="340"/>
      <c r="K29" s="340"/>
      <c r="L29" s="80">
        <v>0</v>
      </c>
      <c r="M29" s="79" t="str">
        <f>IFERROR(L29/$D$27,"-")</f>
        <v>-</v>
      </c>
      <c r="N29" s="154" t="str">
        <f>IFERROR(L29/$D$31,"-")</f>
        <v>-</v>
      </c>
    </row>
    <row r="30" spans="2:14" ht="21" customHeight="1">
      <c r="C30" s="94" t="s">
        <v>78</v>
      </c>
      <c r="D30" s="56">
        <v>0</v>
      </c>
      <c r="E30" s="79" t="str">
        <f t="shared" si="0"/>
        <v>-</v>
      </c>
      <c r="G30" s="340" t="s">
        <v>121</v>
      </c>
      <c r="H30" s="340"/>
      <c r="I30" s="340"/>
      <c r="J30" s="340"/>
      <c r="K30" s="340"/>
      <c r="L30" s="80">
        <v>0</v>
      </c>
      <c r="M30" s="79" t="str">
        <f>IFERROR(L30/$D$27,"-")</f>
        <v>-</v>
      </c>
      <c r="N30" s="154" t="str">
        <f>IFERROR(L30/$D$31,"-")</f>
        <v>-</v>
      </c>
    </row>
    <row r="31" spans="2:14" ht="21" customHeight="1">
      <c r="C31" s="94" t="s">
        <v>79</v>
      </c>
      <c r="D31" s="56">
        <v>0</v>
      </c>
      <c r="E31" s="79" t="str">
        <f t="shared" si="0"/>
        <v>-</v>
      </c>
      <c r="G31" s="340" t="s">
        <v>122</v>
      </c>
      <c r="H31" s="340"/>
      <c r="I31" s="340"/>
      <c r="J31" s="340"/>
      <c r="K31" s="340"/>
      <c r="L31" s="80">
        <v>0</v>
      </c>
      <c r="M31" s="79" t="str">
        <f>IFERROR(L31/$D$27,"-")</f>
        <v>-</v>
      </c>
      <c r="N31" s="154" t="str">
        <f>IFERROR(L31/$D$31,"-")</f>
        <v>-</v>
      </c>
    </row>
    <row r="32" spans="2:14" ht="21" customHeight="1" thickBot="1">
      <c r="C32" s="94" t="s">
        <v>80</v>
      </c>
      <c r="D32" s="156">
        <v>0</v>
      </c>
      <c r="E32" s="157" t="str">
        <f t="shared" si="0"/>
        <v>-</v>
      </c>
      <c r="G32" s="340"/>
      <c r="H32" s="340"/>
      <c r="I32" s="340"/>
      <c r="J32" s="340"/>
      <c r="K32" s="340"/>
    </row>
    <row r="33" spans="1:14" ht="21" customHeight="1">
      <c r="C33" s="40"/>
      <c r="D33" s="40"/>
      <c r="E33" s="40"/>
      <c r="F33" s="40"/>
      <c r="G33" s="340" t="s">
        <v>123</v>
      </c>
      <c r="H33" s="340"/>
      <c r="I33" s="340"/>
      <c r="J33" s="340"/>
      <c r="K33" s="340"/>
      <c r="L33" s="80">
        <v>0</v>
      </c>
      <c r="M33" s="79" t="str">
        <f>IFERROR(L33/$D$27,"-")</f>
        <v>-</v>
      </c>
      <c r="N33" s="154" t="str">
        <f>IFERROR(L33/$D$31,"-")</f>
        <v>-</v>
      </c>
    </row>
    <row r="34" spans="1:14" ht="21" customHeight="1">
      <c r="C34" s="40"/>
      <c r="D34" s="40"/>
      <c r="E34" s="40"/>
      <c r="F34" s="40"/>
      <c r="G34" s="340" t="s">
        <v>124</v>
      </c>
      <c r="H34" s="340"/>
      <c r="I34" s="340"/>
      <c r="J34" s="340"/>
      <c r="K34" s="340"/>
      <c r="L34" s="158">
        <f>D27-L33</f>
        <v>0</v>
      </c>
      <c r="M34" s="79" t="str">
        <f>IFERROR(L34/$D$27,"-")</f>
        <v>-</v>
      </c>
      <c r="N34" s="154" t="str">
        <f>IFERROR(L34/$D$31,"-")</f>
        <v>-</v>
      </c>
    </row>
    <row r="35" spans="1:14"/>
    <row r="36" spans="1:14" s="37" customFormat="1" ht="21">
      <c r="B36" s="196" t="s">
        <v>54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</row>
    <row r="37" spans="1:14"/>
    <row r="38" spans="1:14" s="159" customFormat="1" ht="32.25" customHeight="1">
      <c r="B38" s="160" t="s">
        <v>55</v>
      </c>
      <c r="C38" s="64" t="s">
        <v>56</v>
      </c>
      <c r="D38" s="64" t="s">
        <v>113</v>
      </c>
      <c r="E38" s="161" t="s">
        <v>125</v>
      </c>
      <c r="F38" s="345" t="s">
        <v>126</v>
      </c>
      <c r="G38" s="345"/>
      <c r="H38" s="161" t="s">
        <v>127</v>
      </c>
      <c r="I38" s="161" t="s">
        <v>128</v>
      </c>
      <c r="J38" s="162" t="s">
        <v>129</v>
      </c>
      <c r="K38" s="346" t="s">
        <v>130</v>
      </c>
      <c r="L38" s="346"/>
      <c r="M38" s="346"/>
      <c r="N38" s="347"/>
    </row>
    <row r="39" spans="1:14" ht="33" customHeight="1">
      <c r="A39" s="6">
        <v>1</v>
      </c>
      <c r="B39" s="163" t="str">
        <f>IF('0 AVAL'!B36 = "", "", '0 AVAL'!B36)</f>
        <v/>
      </c>
      <c r="C39" s="163" t="str">
        <f>IF('0 AVAL'!C36 = "", "", '0 AVAL'!C36)</f>
        <v/>
      </c>
      <c r="D39" s="164"/>
      <c r="E39" s="165" t="s">
        <v>108</v>
      </c>
      <c r="F39" s="348"/>
      <c r="G39" s="348"/>
      <c r="H39" s="165" t="s">
        <v>108</v>
      </c>
      <c r="I39" s="166"/>
      <c r="J39" s="165" t="s">
        <v>108</v>
      </c>
      <c r="K39" s="349"/>
      <c r="L39" s="350"/>
      <c r="M39" s="350"/>
      <c r="N39" s="351"/>
    </row>
    <row r="40" spans="1:14" ht="33" customHeight="1">
      <c r="A40" s="6">
        <v>2</v>
      </c>
      <c r="B40" s="163" t="str">
        <f>IF('0 AVAL'!B37 = "", "", '0 AVAL'!B37)</f>
        <v/>
      </c>
      <c r="C40" s="163" t="str">
        <f>IF('0 AVAL'!C37 = "", "", '0 AVAL'!C37)</f>
        <v/>
      </c>
      <c r="D40" s="145"/>
      <c r="E40" s="165" t="s">
        <v>108</v>
      </c>
      <c r="F40" s="341"/>
      <c r="G40" s="341"/>
      <c r="H40" s="165" t="s">
        <v>108</v>
      </c>
      <c r="I40" s="167"/>
      <c r="J40" s="165" t="s">
        <v>108</v>
      </c>
      <c r="K40" s="342"/>
      <c r="L40" s="343"/>
      <c r="M40" s="343"/>
      <c r="N40" s="344"/>
    </row>
    <row r="41" spans="1:14" ht="33" customHeight="1">
      <c r="A41" s="6">
        <v>3</v>
      </c>
      <c r="B41" s="163" t="str">
        <f>IF('0 AVAL'!B38 = "", "", '0 AVAL'!B38)</f>
        <v/>
      </c>
      <c r="C41" s="163" t="str">
        <f>IF('0 AVAL'!C38 = "", "", '0 AVAL'!C38)</f>
        <v/>
      </c>
      <c r="D41" s="145"/>
      <c r="E41" s="165" t="s">
        <v>108</v>
      </c>
      <c r="F41" s="341"/>
      <c r="G41" s="341"/>
      <c r="H41" s="165" t="s">
        <v>108</v>
      </c>
      <c r="I41" s="167"/>
      <c r="J41" s="165" t="s">
        <v>108</v>
      </c>
      <c r="K41" s="342"/>
      <c r="L41" s="343"/>
      <c r="M41" s="343"/>
      <c r="N41" s="344"/>
    </row>
    <row r="42" spans="1:14" ht="33" customHeight="1">
      <c r="A42" s="6">
        <v>4</v>
      </c>
      <c r="B42" s="163" t="str">
        <f>IF('0 AVAL'!B39 = "", "", '0 AVAL'!B39)</f>
        <v/>
      </c>
      <c r="C42" s="163" t="str">
        <f>IF('0 AVAL'!C39 = "", "", '0 AVAL'!C39)</f>
        <v/>
      </c>
      <c r="D42" s="145"/>
      <c r="E42" s="165" t="s">
        <v>108</v>
      </c>
      <c r="F42" s="341"/>
      <c r="G42" s="341"/>
      <c r="H42" s="165" t="s">
        <v>108</v>
      </c>
      <c r="I42" s="167"/>
      <c r="J42" s="165" t="s">
        <v>108</v>
      </c>
      <c r="K42" s="342"/>
      <c r="L42" s="343"/>
      <c r="M42" s="343"/>
      <c r="N42" s="344"/>
    </row>
    <row r="43" spans="1:14" ht="33" customHeight="1">
      <c r="A43" s="6">
        <v>5</v>
      </c>
      <c r="B43" s="163" t="str">
        <f>IF('0 AVAL'!B40 = "", "", '0 AVAL'!B40)</f>
        <v/>
      </c>
      <c r="C43" s="163" t="str">
        <f>IF('0 AVAL'!C40 = "", "", '0 AVAL'!C40)</f>
        <v/>
      </c>
      <c r="D43" s="145"/>
      <c r="E43" s="165" t="s">
        <v>108</v>
      </c>
      <c r="F43" s="341"/>
      <c r="G43" s="341"/>
      <c r="H43" s="165" t="s">
        <v>108</v>
      </c>
      <c r="I43" s="167"/>
      <c r="J43" s="165" t="s">
        <v>108</v>
      </c>
      <c r="K43" s="342"/>
      <c r="L43" s="343"/>
      <c r="M43" s="343"/>
      <c r="N43" s="344"/>
    </row>
    <row r="44" spans="1:14" ht="33" customHeight="1">
      <c r="A44" s="6">
        <v>6</v>
      </c>
      <c r="B44" s="163" t="str">
        <f>IF('0 AVAL'!B41 = "", "", '0 AVAL'!B41)</f>
        <v/>
      </c>
      <c r="C44" s="163" t="str">
        <f>IF('0 AVAL'!C41 = "", "", '0 AVAL'!C41)</f>
        <v/>
      </c>
      <c r="D44" s="145"/>
      <c r="E44" s="165" t="s">
        <v>108</v>
      </c>
      <c r="F44" s="341"/>
      <c r="G44" s="341"/>
      <c r="H44" s="165" t="s">
        <v>108</v>
      </c>
      <c r="I44" s="167"/>
      <c r="J44" s="165" t="s">
        <v>108</v>
      </c>
      <c r="K44" s="342"/>
      <c r="L44" s="343"/>
      <c r="M44" s="343"/>
      <c r="N44" s="344"/>
    </row>
    <row r="45" spans="1:14" ht="33" customHeight="1">
      <c r="A45" s="6">
        <v>7</v>
      </c>
      <c r="B45" s="163" t="str">
        <f>IF('0 AVAL'!B42 = "", "", '0 AVAL'!B42)</f>
        <v/>
      </c>
      <c r="C45" s="163" t="str">
        <f>IF('0 AVAL'!C42 = "", "", '0 AVAL'!C42)</f>
        <v/>
      </c>
      <c r="D45" s="145"/>
      <c r="E45" s="165" t="s">
        <v>108</v>
      </c>
      <c r="F45" s="341"/>
      <c r="G45" s="341"/>
      <c r="H45" s="165" t="s">
        <v>108</v>
      </c>
      <c r="I45" s="167"/>
      <c r="J45" s="165" t="s">
        <v>108</v>
      </c>
      <c r="K45" s="342"/>
      <c r="L45" s="343"/>
      <c r="M45" s="343"/>
      <c r="N45" s="344"/>
    </row>
    <row r="46" spans="1:14" ht="33" customHeight="1">
      <c r="A46" s="6">
        <v>8</v>
      </c>
      <c r="B46" s="163" t="str">
        <f>IF('0 AVAL'!B43 = "", "", '0 AVAL'!B43)</f>
        <v/>
      </c>
      <c r="C46" s="163" t="str">
        <f>IF('0 AVAL'!C43 = "", "", '0 AVAL'!C43)</f>
        <v/>
      </c>
      <c r="D46" s="145"/>
      <c r="E46" s="165" t="s">
        <v>108</v>
      </c>
      <c r="F46" s="341"/>
      <c r="G46" s="341"/>
      <c r="H46" s="165" t="s">
        <v>108</v>
      </c>
      <c r="I46" s="167"/>
      <c r="J46" s="165" t="s">
        <v>108</v>
      </c>
      <c r="K46" s="342"/>
      <c r="L46" s="343"/>
      <c r="M46" s="343"/>
      <c r="N46" s="344"/>
    </row>
    <row r="47" spans="1:14" ht="33" customHeight="1">
      <c r="A47" s="6">
        <v>9</v>
      </c>
      <c r="B47" s="163" t="str">
        <f>IF('0 AVAL'!B44 = "", "", '0 AVAL'!B44)</f>
        <v/>
      </c>
      <c r="C47" s="163" t="str">
        <f>IF('0 AVAL'!C44 = "", "", '0 AVAL'!C44)</f>
        <v/>
      </c>
      <c r="D47" s="145"/>
      <c r="E47" s="165" t="s">
        <v>108</v>
      </c>
      <c r="F47" s="341"/>
      <c r="G47" s="341"/>
      <c r="H47" s="165" t="s">
        <v>108</v>
      </c>
      <c r="I47" s="167"/>
      <c r="J47" s="165" t="s">
        <v>108</v>
      </c>
      <c r="K47" s="342"/>
      <c r="L47" s="343"/>
      <c r="M47" s="343"/>
      <c r="N47" s="344"/>
    </row>
    <row r="48" spans="1:14" ht="33" customHeight="1">
      <c r="A48" s="6">
        <v>10</v>
      </c>
      <c r="B48" s="163" t="str">
        <f>IF('0 AVAL'!B45 = "", "", '0 AVAL'!B45)</f>
        <v/>
      </c>
      <c r="C48" s="163" t="str">
        <f>IF('0 AVAL'!C45 = "", "", '0 AVAL'!C45)</f>
        <v/>
      </c>
      <c r="D48" s="145"/>
      <c r="E48" s="165" t="s">
        <v>108</v>
      </c>
      <c r="F48" s="341"/>
      <c r="G48" s="341"/>
      <c r="H48" s="165" t="s">
        <v>108</v>
      </c>
      <c r="I48" s="167"/>
      <c r="J48" s="165" t="s">
        <v>108</v>
      </c>
      <c r="K48" s="342"/>
      <c r="L48" s="343"/>
      <c r="M48" s="343"/>
      <c r="N48" s="344"/>
    </row>
    <row r="49" spans="1:14" ht="33" customHeight="1">
      <c r="A49" s="6">
        <v>11</v>
      </c>
      <c r="B49" s="163" t="str">
        <f>IF('0 AVAL'!B46 = "", "", '0 AVAL'!B46)</f>
        <v/>
      </c>
      <c r="C49" s="163" t="str">
        <f>IF('0 AVAL'!C46 = "", "", '0 AVAL'!C46)</f>
        <v/>
      </c>
      <c r="D49" s="145"/>
      <c r="E49" s="165" t="s">
        <v>108</v>
      </c>
      <c r="F49" s="341"/>
      <c r="G49" s="341"/>
      <c r="H49" s="165" t="s">
        <v>108</v>
      </c>
      <c r="I49" s="167"/>
      <c r="J49" s="165" t="s">
        <v>108</v>
      </c>
      <c r="K49" s="342"/>
      <c r="L49" s="343"/>
      <c r="M49" s="343"/>
      <c r="N49" s="344"/>
    </row>
    <row r="50" spans="1:14" ht="33" customHeight="1">
      <c r="A50" s="6">
        <v>12</v>
      </c>
      <c r="B50" s="163" t="str">
        <f>IF('0 AVAL'!B47 = "", "", '0 AVAL'!B47)</f>
        <v/>
      </c>
      <c r="C50" s="163" t="str">
        <f>IF('0 AVAL'!C47 = "", "", '0 AVAL'!C47)</f>
        <v/>
      </c>
      <c r="D50" s="145"/>
      <c r="E50" s="165" t="s">
        <v>108</v>
      </c>
      <c r="F50" s="341"/>
      <c r="G50" s="341"/>
      <c r="H50" s="165" t="s">
        <v>108</v>
      </c>
      <c r="I50" s="167"/>
      <c r="J50" s="165" t="s">
        <v>108</v>
      </c>
      <c r="K50" s="342"/>
      <c r="L50" s="343"/>
      <c r="M50" s="343"/>
      <c r="N50" s="344"/>
    </row>
    <row r="51" spans="1:14" ht="33" customHeight="1">
      <c r="A51" s="6">
        <v>13</v>
      </c>
      <c r="B51" s="163" t="str">
        <f>IF('0 AVAL'!B48 = "", "", '0 AVAL'!B48)</f>
        <v/>
      </c>
      <c r="C51" s="163" t="str">
        <f>IF('0 AVAL'!C48 = "", "", '0 AVAL'!C48)</f>
        <v/>
      </c>
      <c r="D51" s="145"/>
      <c r="E51" s="165" t="s">
        <v>108</v>
      </c>
      <c r="F51" s="341"/>
      <c r="G51" s="341"/>
      <c r="H51" s="165" t="s">
        <v>108</v>
      </c>
      <c r="I51" s="167"/>
      <c r="J51" s="165" t="s">
        <v>108</v>
      </c>
      <c r="K51" s="342"/>
      <c r="L51" s="343"/>
      <c r="M51" s="343"/>
      <c r="N51" s="344"/>
    </row>
    <row r="52" spans="1:14" ht="33" customHeight="1">
      <c r="A52" s="6">
        <v>14</v>
      </c>
      <c r="B52" s="163" t="str">
        <f>IF('0 AVAL'!B49 = "", "", '0 AVAL'!B49)</f>
        <v/>
      </c>
      <c r="C52" s="163" t="str">
        <f>IF('0 AVAL'!C49 = "", "", '0 AVAL'!C49)</f>
        <v/>
      </c>
      <c r="D52" s="145"/>
      <c r="E52" s="165" t="s">
        <v>108</v>
      </c>
      <c r="F52" s="341"/>
      <c r="G52" s="341"/>
      <c r="H52" s="165" t="s">
        <v>108</v>
      </c>
      <c r="I52" s="167"/>
      <c r="J52" s="165" t="s">
        <v>108</v>
      </c>
      <c r="K52" s="342"/>
      <c r="L52" s="343"/>
      <c r="M52" s="343"/>
      <c r="N52" s="344"/>
    </row>
    <row r="53" spans="1:14" ht="33" customHeight="1">
      <c r="A53" s="6">
        <v>15</v>
      </c>
      <c r="B53" s="163" t="str">
        <f>IF('0 AVAL'!B50 = "", "", '0 AVAL'!B50)</f>
        <v/>
      </c>
      <c r="C53" s="163" t="str">
        <f>IF('0 AVAL'!C50 = "", "", '0 AVAL'!C50)</f>
        <v/>
      </c>
      <c r="D53" s="145"/>
      <c r="E53" s="165" t="s">
        <v>108</v>
      </c>
      <c r="F53" s="341"/>
      <c r="G53" s="341"/>
      <c r="H53" s="165" t="s">
        <v>108</v>
      </c>
      <c r="I53" s="167"/>
      <c r="J53" s="165" t="s">
        <v>108</v>
      </c>
      <c r="K53" s="342"/>
      <c r="L53" s="343"/>
      <c r="M53" s="343"/>
      <c r="N53" s="344"/>
    </row>
    <row r="54" spans="1:14" ht="33" customHeight="1">
      <c r="A54" s="6">
        <v>16</v>
      </c>
      <c r="B54" s="163" t="str">
        <f>IF('0 AVAL'!B51 = "", "", '0 AVAL'!B51)</f>
        <v/>
      </c>
      <c r="C54" s="163" t="str">
        <f>IF('0 AVAL'!C51 = "", "", '0 AVAL'!C51)</f>
        <v/>
      </c>
      <c r="D54" s="145"/>
      <c r="E54" s="165" t="s">
        <v>108</v>
      </c>
      <c r="F54" s="341"/>
      <c r="G54" s="341"/>
      <c r="H54" s="165" t="s">
        <v>108</v>
      </c>
      <c r="I54" s="167"/>
      <c r="J54" s="165" t="s">
        <v>108</v>
      </c>
      <c r="K54" s="342"/>
      <c r="L54" s="343"/>
      <c r="M54" s="343"/>
      <c r="N54" s="344"/>
    </row>
    <row r="55" spans="1:14" ht="33" customHeight="1">
      <c r="A55" s="6">
        <v>17</v>
      </c>
      <c r="B55" s="163" t="str">
        <f>IF('0 AVAL'!B52 = "", "", '0 AVAL'!B52)</f>
        <v/>
      </c>
      <c r="C55" s="163" t="str">
        <f>IF('0 AVAL'!C52 = "", "", '0 AVAL'!C52)</f>
        <v/>
      </c>
      <c r="D55" s="145"/>
      <c r="E55" s="165" t="s">
        <v>108</v>
      </c>
      <c r="F55" s="341"/>
      <c r="G55" s="341"/>
      <c r="H55" s="165" t="s">
        <v>108</v>
      </c>
      <c r="I55" s="167"/>
      <c r="J55" s="165" t="s">
        <v>108</v>
      </c>
      <c r="K55" s="342"/>
      <c r="L55" s="343"/>
      <c r="M55" s="343"/>
      <c r="N55" s="344"/>
    </row>
    <row r="56" spans="1:14" ht="33" customHeight="1">
      <c r="A56" s="6">
        <v>18</v>
      </c>
      <c r="B56" s="163" t="str">
        <f>IF('0 AVAL'!B53 = "", "", '0 AVAL'!B53)</f>
        <v/>
      </c>
      <c r="C56" s="163" t="str">
        <f>IF('0 AVAL'!C53 = "", "", '0 AVAL'!C53)</f>
        <v/>
      </c>
      <c r="D56" s="145"/>
      <c r="E56" s="165" t="s">
        <v>108</v>
      </c>
      <c r="F56" s="341"/>
      <c r="G56" s="341"/>
      <c r="H56" s="165" t="s">
        <v>108</v>
      </c>
      <c r="I56" s="167"/>
      <c r="J56" s="165" t="s">
        <v>108</v>
      </c>
      <c r="K56" s="342"/>
      <c r="L56" s="343"/>
      <c r="M56" s="343"/>
      <c r="N56" s="344"/>
    </row>
    <row r="57" spans="1:14" ht="33" customHeight="1">
      <c r="A57" s="6">
        <v>19</v>
      </c>
      <c r="B57" s="163" t="str">
        <f>IF('0 AVAL'!B54 = "", "", '0 AVAL'!B54)</f>
        <v/>
      </c>
      <c r="C57" s="163" t="str">
        <f>IF('0 AVAL'!C54 = "", "", '0 AVAL'!C54)</f>
        <v/>
      </c>
      <c r="D57" s="145"/>
      <c r="E57" s="165" t="s">
        <v>108</v>
      </c>
      <c r="F57" s="341"/>
      <c r="G57" s="341"/>
      <c r="H57" s="165" t="s">
        <v>108</v>
      </c>
      <c r="I57" s="167"/>
      <c r="J57" s="165" t="s">
        <v>108</v>
      </c>
      <c r="K57" s="342"/>
      <c r="L57" s="343"/>
      <c r="M57" s="343"/>
      <c r="N57" s="344"/>
    </row>
    <row r="58" spans="1:14" ht="33" customHeight="1">
      <c r="A58" s="6">
        <v>20</v>
      </c>
      <c r="B58" s="163" t="str">
        <f>IF('0 AVAL'!B55 = "", "", '0 AVAL'!B55)</f>
        <v/>
      </c>
      <c r="C58" s="163" t="str">
        <f>IF('0 AVAL'!C55 = "", "", '0 AVAL'!C55)</f>
        <v/>
      </c>
      <c r="D58" s="145"/>
      <c r="E58" s="165" t="s">
        <v>108</v>
      </c>
      <c r="F58" s="341"/>
      <c r="G58" s="341"/>
      <c r="H58" s="165" t="s">
        <v>108</v>
      </c>
      <c r="I58" s="167"/>
      <c r="J58" s="165" t="s">
        <v>108</v>
      </c>
      <c r="K58" s="342"/>
      <c r="L58" s="343"/>
      <c r="M58" s="343"/>
      <c r="N58" s="344"/>
    </row>
    <row r="59" spans="1:14" ht="33" customHeight="1">
      <c r="A59" s="6">
        <v>21</v>
      </c>
      <c r="B59" s="163" t="str">
        <f>IF('0 AVAL'!B56 = "", "", '0 AVAL'!B56)</f>
        <v/>
      </c>
      <c r="C59" s="163" t="str">
        <f>IF('0 AVAL'!C56 = "", "", '0 AVAL'!C56)</f>
        <v/>
      </c>
      <c r="D59" s="145"/>
      <c r="E59" s="165" t="s">
        <v>108</v>
      </c>
      <c r="F59" s="341"/>
      <c r="G59" s="341"/>
      <c r="H59" s="165" t="s">
        <v>108</v>
      </c>
      <c r="I59" s="167"/>
      <c r="J59" s="165" t="s">
        <v>108</v>
      </c>
      <c r="K59" s="342"/>
      <c r="L59" s="343"/>
      <c r="M59" s="343"/>
      <c r="N59" s="344"/>
    </row>
    <row r="60" spans="1:14" ht="33" customHeight="1">
      <c r="A60" s="6">
        <v>22</v>
      </c>
      <c r="B60" s="163" t="str">
        <f>IF('0 AVAL'!B57 = "", "", '0 AVAL'!B57)</f>
        <v/>
      </c>
      <c r="C60" s="163" t="str">
        <f>IF('0 AVAL'!C57 = "", "", '0 AVAL'!C57)</f>
        <v/>
      </c>
      <c r="D60" s="145"/>
      <c r="E60" s="165" t="s">
        <v>108</v>
      </c>
      <c r="F60" s="341"/>
      <c r="G60" s="341"/>
      <c r="H60" s="165" t="s">
        <v>108</v>
      </c>
      <c r="I60" s="167"/>
      <c r="J60" s="165" t="s">
        <v>108</v>
      </c>
      <c r="K60" s="342"/>
      <c r="L60" s="343"/>
      <c r="M60" s="343"/>
      <c r="N60" s="344"/>
    </row>
    <row r="61" spans="1:14" ht="33" customHeight="1">
      <c r="A61" s="6">
        <v>23</v>
      </c>
      <c r="B61" s="163" t="str">
        <f>IF('0 AVAL'!B58 = "", "", '0 AVAL'!B58)</f>
        <v/>
      </c>
      <c r="C61" s="163" t="str">
        <f>IF('0 AVAL'!C58 = "", "", '0 AVAL'!C58)</f>
        <v/>
      </c>
      <c r="D61" s="145"/>
      <c r="E61" s="165" t="s">
        <v>108</v>
      </c>
      <c r="F61" s="341"/>
      <c r="G61" s="341"/>
      <c r="H61" s="165" t="s">
        <v>108</v>
      </c>
      <c r="I61" s="167"/>
      <c r="J61" s="165" t="s">
        <v>108</v>
      </c>
      <c r="K61" s="342"/>
      <c r="L61" s="343"/>
      <c r="M61" s="343"/>
      <c r="N61" s="344"/>
    </row>
    <row r="62" spans="1:14" ht="33" customHeight="1">
      <c r="A62" s="6">
        <v>24</v>
      </c>
      <c r="B62" s="163" t="str">
        <f>IF('0 AVAL'!B59 = "", "", '0 AVAL'!B59)</f>
        <v/>
      </c>
      <c r="C62" s="163" t="str">
        <f>IF('0 AVAL'!C59 = "", "", '0 AVAL'!C59)</f>
        <v/>
      </c>
      <c r="D62" s="145"/>
      <c r="E62" s="165" t="s">
        <v>108</v>
      </c>
      <c r="F62" s="341"/>
      <c r="G62" s="341"/>
      <c r="H62" s="165" t="s">
        <v>108</v>
      </c>
      <c r="I62" s="167"/>
      <c r="J62" s="165" t="s">
        <v>108</v>
      </c>
      <c r="K62" s="342"/>
      <c r="L62" s="343"/>
      <c r="M62" s="343"/>
      <c r="N62" s="344"/>
    </row>
    <row r="63" spans="1:14" ht="33" customHeight="1">
      <c r="A63" s="6">
        <v>25</v>
      </c>
      <c r="B63" s="163" t="str">
        <f>IF('0 AVAL'!B60 = "", "", '0 AVAL'!B60)</f>
        <v/>
      </c>
      <c r="C63" s="163" t="str">
        <f>IF('0 AVAL'!C60 = "", "", '0 AVAL'!C60)</f>
        <v/>
      </c>
      <c r="D63" s="145"/>
      <c r="E63" s="165" t="s">
        <v>108</v>
      </c>
      <c r="F63" s="341"/>
      <c r="G63" s="341"/>
      <c r="H63" s="165" t="s">
        <v>108</v>
      </c>
      <c r="I63" s="167"/>
      <c r="J63" s="165" t="s">
        <v>108</v>
      </c>
      <c r="K63" s="342"/>
      <c r="L63" s="343"/>
      <c r="M63" s="343"/>
      <c r="N63" s="344"/>
    </row>
    <row r="64" spans="1:14" ht="33" customHeight="1">
      <c r="A64" s="6">
        <v>26</v>
      </c>
      <c r="B64" s="163" t="str">
        <f>IF('0 AVAL'!B61 = "", "", '0 AVAL'!B61)</f>
        <v/>
      </c>
      <c r="C64" s="163" t="str">
        <f>IF('0 AVAL'!C61 = "", "", '0 AVAL'!C61)</f>
        <v/>
      </c>
      <c r="D64" s="145"/>
      <c r="E64" s="165" t="s">
        <v>108</v>
      </c>
      <c r="F64" s="341"/>
      <c r="G64" s="341"/>
      <c r="H64" s="165" t="s">
        <v>108</v>
      </c>
      <c r="I64" s="167"/>
      <c r="J64" s="165" t="s">
        <v>108</v>
      </c>
      <c r="K64" s="342"/>
      <c r="L64" s="343"/>
      <c r="M64" s="343"/>
      <c r="N64" s="344"/>
    </row>
    <row r="65" spans="1:14" ht="33" customHeight="1">
      <c r="A65" s="6">
        <v>27</v>
      </c>
      <c r="B65" s="163" t="str">
        <f>IF('0 AVAL'!B62 = "", "", '0 AVAL'!B62)</f>
        <v/>
      </c>
      <c r="C65" s="163" t="str">
        <f>IF('0 AVAL'!C62 = "", "", '0 AVAL'!C62)</f>
        <v/>
      </c>
      <c r="D65" s="145"/>
      <c r="E65" s="165" t="s">
        <v>108</v>
      </c>
      <c r="F65" s="341"/>
      <c r="G65" s="341"/>
      <c r="H65" s="165" t="s">
        <v>108</v>
      </c>
      <c r="I65" s="167"/>
      <c r="J65" s="165" t="s">
        <v>108</v>
      </c>
      <c r="K65" s="342"/>
      <c r="L65" s="343"/>
      <c r="M65" s="343"/>
      <c r="N65" s="344"/>
    </row>
    <row r="66" spans="1:14" ht="33" customHeight="1">
      <c r="A66" s="6">
        <v>28</v>
      </c>
      <c r="B66" s="163" t="str">
        <f>IF('0 AVAL'!B63 = "", "", '0 AVAL'!B63)</f>
        <v/>
      </c>
      <c r="C66" s="163" t="str">
        <f>IF('0 AVAL'!C63 = "", "", '0 AVAL'!C63)</f>
        <v/>
      </c>
      <c r="D66" s="145"/>
      <c r="E66" s="165" t="s">
        <v>108</v>
      </c>
      <c r="F66" s="341"/>
      <c r="G66" s="341"/>
      <c r="H66" s="165" t="s">
        <v>108</v>
      </c>
      <c r="I66" s="167"/>
      <c r="J66" s="165" t="s">
        <v>108</v>
      </c>
      <c r="K66" s="342"/>
      <c r="L66" s="343"/>
      <c r="M66" s="343"/>
      <c r="N66" s="344"/>
    </row>
    <row r="67" spans="1:14" ht="33" customHeight="1">
      <c r="A67" s="6">
        <v>29</v>
      </c>
      <c r="B67" s="163" t="str">
        <f>IF('0 AVAL'!B64 = "", "", '0 AVAL'!B64)</f>
        <v/>
      </c>
      <c r="C67" s="163" t="str">
        <f>IF('0 AVAL'!C64 = "", "", '0 AVAL'!C64)</f>
        <v/>
      </c>
      <c r="D67" s="145"/>
      <c r="E67" s="165" t="s">
        <v>108</v>
      </c>
      <c r="F67" s="341"/>
      <c r="G67" s="341"/>
      <c r="H67" s="165" t="s">
        <v>108</v>
      </c>
      <c r="I67" s="167"/>
      <c r="J67" s="165" t="s">
        <v>108</v>
      </c>
      <c r="K67" s="342"/>
      <c r="L67" s="343"/>
      <c r="M67" s="343"/>
      <c r="N67" s="344"/>
    </row>
    <row r="68" spans="1:14" ht="33" customHeight="1">
      <c r="A68" s="6">
        <v>30</v>
      </c>
      <c r="B68" s="163" t="str">
        <f>IF('0 AVAL'!B65 = "", "", '0 AVAL'!B65)</f>
        <v/>
      </c>
      <c r="C68" s="163" t="str">
        <f>IF('0 AVAL'!C65 = "", "", '0 AVAL'!C65)</f>
        <v/>
      </c>
      <c r="D68" s="145"/>
      <c r="E68" s="165" t="s">
        <v>108</v>
      </c>
      <c r="F68" s="341"/>
      <c r="G68" s="341"/>
      <c r="H68" s="165" t="s">
        <v>108</v>
      </c>
      <c r="I68" s="167"/>
      <c r="J68" s="165" t="s">
        <v>108</v>
      </c>
      <c r="K68" s="342"/>
      <c r="L68" s="343"/>
      <c r="M68" s="343"/>
      <c r="N68" s="344"/>
    </row>
    <row r="69" spans="1:14" ht="33" customHeight="1">
      <c r="A69" s="6">
        <v>31</v>
      </c>
      <c r="B69" s="163" t="str">
        <f>IF('0 AVAL'!B66 = "", "", '0 AVAL'!B66)</f>
        <v/>
      </c>
      <c r="C69" s="163" t="str">
        <f>IF('0 AVAL'!C66 = "", "", '0 AVAL'!C66)</f>
        <v/>
      </c>
      <c r="D69" s="145"/>
      <c r="E69" s="165" t="s">
        <v>108</v>
      </c>
      <c r="F69" s="341"/>
      <c r="G69" s="341"/>
      <c r="H69" s="165" t="s">
        <v>108</v>
      </c>
      <c r="I69" s="167"/>
      <c r="J69" s="165" t="s">
        <v>108</v>
      </c>
      <c r="K69" s="342"/>
      <c r="L69" s="343"/>
      <c r="M69" s="343"/>
      <c r="N69" s="344"/>
    </row>
    <row r="70" spans="1:14" ht="33" customHeight="1">
      <c r="A70" s="6">
        <v>32</v>
      </c>
      <c r="B70" s="163" t="str">
        <f>IF('0 AVAL'!B67 = "", "", '0 AVAL'!B67)</f>
        <v/>
      </c>
      <c r="C70" s="163" t="str">
        <f>IF('0 AVAL'!C67 = "", "", '0 AVAL'!C67)</f>
        <v/>
      </c>
      <c r="D70" s="145"/>
      <c r="E70" s="165" t="s">
        <v>108</v>
      </c>
      <c r="F70" s="341"/>
      <c r="G70" s="341"/>
      <c r="H70" s="165" t="s">
        <v>108</v>
      </c>
      <c r="I70" s="167"/>
      <c r="J70" s="165" t="s">
        <v>108</v>
      </c>
      <c r="K70" s="342"/>
      <c r="L70" s="343"/>
      <c r="M70" s="343"/>
      <c r="N70" s="344"/>
    </row>
    <row r="71" spans="1:14" ht="33" customHeight="1">
      <c r="A71" s="6">
        <v>33</v>
      </c>
      <c r="B71" s="163" t="str">
        <f>IF('0 AVAL'!B68 = "", "", '0 AVAL'!B68)</f>
        <v/>
      </c>
      <c r="C71" s="163" t="str">
        <f>IF('0 AVAL'!C68 = "", "", '0 AVAL'!C68)</f>
        <v/>
      </c>
      <c r="D71" s="145"/>
      <c r="E71" s="165" t="s">
        <v>108</v>
      </c>
      <c r="F71" s="341"/>
      <c r="G71" s="341"/>
      <c r="H71" s="165" t="s">
        <v>108</v>
      </c>
      <c r="I71" s="167"/>
      <c r="J71" s="165" t="s">
        <v>108</v>
      </c>
      <c r="K71" s="342"/>
      <c r="L71" s="343"/>
      <c r="M71" s="343"/>
      <c r="N71" s="344"/>
    </row>
    <row r="72" spans="1:14" ht="33" customHeight="1">
      <c r="A72" s="6">
        <v>34</v>
      </c>
      <c r="B72" s="163" t="str">
        <f>IF('0 AVAL'!B69 = "", "", '0 AVAL'!B69)</f>
        <v/>
      </c>
      <c r="C72" s="163" t="str">
        <f>IF('0 AVAL'!C69 = "", "", '0 AVAL'!C69)</f>
        <v/>
      </c>
      <c r="D72" s="145"/>
      <c r="E72" s="165" t="s">
        <v>108</v>
      </c>
      <c r="F72" s="341"/>
      <c r="G72" s="341"/>
      <c r="H72" s="165" t="s">
        <v>108</v>
      </c>
      <c r="I72" s="167"/>
      <c r="J72" s="165" t="s">
        <v>108</v>
      </c>
      <c r="K72" s="342"/>
      <c r="L72" s="343"/>
      <c r="M72" s="343"/>
      <c r="N72" s="344"/>
    </row>
    <row r="73" spans="1:14" ht="33" customHeight="1">
      <c r="A73" s="6">
        <v>35</v>
      </c>
      <c r="B73" s="163" t="str">
        <f>IF('0 AVAL'!B70 = "", "", '0 AVAL'!B70)</f>
        <v/>
      </c>
      <c r="C73" s="163" t="str">
        <f>IF('0 AVAL'!C70 = "", "", '0 AVAL'!C70)</f>
        <v/>
      </c>
      <c r="D73" s="145"/>
      <c r="E73" s="165" t="s">
        <v>108</v>
      </c>
      <c r="F73" s="341"/>
      <c r="G73" s="341"/>
      <c r="H73" s="165" t="s">
        <v>108</v>
      </c>
      <c r="I73" s="167"/>
      <c r="J73" s="165" t="s">
        <v>108</v>
      </c>
      <c r="K73" s="342"/>
      <c r="L73" s="343"/>
      <c r="M73" s="343"/>
      <c r="N73" s="344"/>
    </row>
    <row r="74" spans="1:14" ht="33" customHeight="1">
      <c r="A74" s="6">
        <v>36</v>
      </c>
      <c r="B74" s="163" t="str">
        <f>IF('0 AVAL'!B71 = "", "", '0 AVAL'!B71)</f>
        <v/>
      </c>
      <c r="C74" s="163" t="str">
        <f>IF('0 AVAL'!C71 = "", "", '0 AVAL'!C71)</f>
        <v/>
      </c>
      <c r="D74" s="145"/>
      <c r="E74" s="165" t="s">
        <v>108</v>
      </c>
      <c r="F74" s="341"/>
      <c r="G74" s="341"/>
      <c r="H74" s="165" t="s">
        <v>108</v>
      </c>
      <c r="I74" s="167"/>
      <c r="J74" s="165" t="s">
        <v>108</v>
      </c>
      <c r="K74" s="342"/>
      <c r="L74" s="343"/>
      <c r="M74" s="343"/>
      <c r="N74" s="344"/>
    </row>
    <row r="75" spans="1:14" ht="33" customHeight="1">
      <c r="A75" s="6">
        <v>37</v>
      </c>
      <c r="B75" s="163" t="str">
        <f>IF('0 AVAL'!B72 = "", "", '0 AVAL'!B72)</f>
        <v/>
      </c>
      <c r="C75" s="163" t="str">
        <f>IF('0 AVAL'!C72 = "", "", '0 AVAL'!C72)</f>
        <v/>
      </c>
      <c r="D75" s="145"/>
      <c r="E75" s="165" t="s">
        <v>108</v>
      </c>
      <c r="F75" s="341"/>
      <c r="G75" s="341"/>
      <c r="H75" s="165" t="s">
        <v>108</v>
      </c>
      <c r="I75" s="167"/>
      <c r="J75" s="165" t="s">
        <v>108</v>
      </c>
      <c r="K75" s="342"/>
      <c r="L75" s="343"/>
      <c r="M75" s="343"/>
      <c r="N75" s="344"/>
    </row>
    <row r="76" spans="1:14" ht="33" customHeight="1">
      <c r="A76" s="6">
        <v>38</v>
      </c>
      <c r="B76" s="163" t="str">
        <f>IF('0 AVAL'!B73 = "", "", '0 AVAL'!B73)</f>
        <v/>
      </c>
      <c r="C76" s="163" t="str">
        <f>IF('0 AVAL'!C73 = "", "", '0 AVAL'!C73)</f>
        <v/>
      </c>
      <c r="D76" s="145"/>
      <c r="E76" s="165" t="s">
        <v>108</v>
      </c>
      <c r="F76" s="341"/>
      <c r="G76" s="341"/>
      <c r="H76" s="165" t="s">
        <v>108</v>
      </c>
      <c r="I76" s="167"/>
      <c r="J76" s="165" t="s">
        <v>108</v>
      </c>
      <c r="K76" s="342"/>
      <c r="L76" s="343"/>
      <c r="M76" s="343"/>
      <c r="N76" s="344"/>
    </row>
    <row r="77" spans="1:14" ht="33" customHeight="1">
      <c r="A77" s="6">
        <v>39</v>
      </c>
      <c r="B77" s="163" t="str">
        <f>IF('0 AVAL'!B74 = "", "", '0 AVAL'!B74)</f>
        <v/>
      </c>
      <c r="C77" s="163" t="str">
        <f>IF('0 AVAL'!C74 = "", "", '0 AVAL'!C74)</f>
        <v/>
      </c>
      <c r="D77" s="145"/>
      <c r="E77" s="165" t="s">
        <v>108</v>
      </c>
      <c r="F77" s="341"/>
      <c r="G77" s="341"/>
      <c r="H77" s="165" t="s">
        <v>108</v>
      </c>
      <c r="I77" s="167"/>
      <c r="J77" s="165" t="s">
        <v>108</v>
      </c>
      <c r="K77" s="342"/>
      <c r="L77" s="343"/>
      <c r="M77" s="343"/>
      <c r="N77" s="344"/>
    </row>
    <row r="78" spans="1:14" ht="33" customHeight="1">
      <c r="A78" s="6">
        <v>40</v>
      </c>
      <c r="B78" s="163" t="str">
        <f>IF('0 AVAL'!B75 = "", "", '0 AVAL'!B75)</f>
        <v/>
      </c>
      <c r="C78" s="163" t="str">
        <f>IF('0 AVAL'!C75 = "", "", '0 AVAL'!C75)</f>
        <v/>
      </c>
      <c r="D78" s="145"/>
      <c r="E78" s="165" t="s">
        <v>108</v>
      </c>
      <c r="F78" s="341"/>
      <c r="G78" s="341"/>
      <c r="H78" s="165" t="s">
        <v>108</v>
      </c>
      <c r="I78" s="167"/>
      <c r="J78" s="165" t="s">
        <v>108</v>
      </c>
      <c r="K78" s="342"/>
      <c r="L78" s="343"/>
      <c r="M78" s="343"/>
      <c r="N78" s="344"/>
    </row>
    <row r="79" spans="1:14" ht="16.149999999999999" thickBot="1"/>
    <row r="80" spans="1:14" s="37" customFormat="1" ht="21.4" thickBot="1">
      <c r="B80" s="274" t="s">
        <v>82</v>
      </c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7"/>
    </row>
    <row r="81" spans="1:14">
      <c r="B81" s="2"/>
      <c r="C81" s="2"/>
      <c r="D81" s="2"/>
      <c r="E81" s="2"/>
      <c r="F81" s="2"/>
      <c r="G81" s="2"/>
      <c r="H81" s="2"/>
      <c r="I81" s="2"/>
      <c r="J81" s="85" t="s">
        <v>83</v>
      </c>
      <c r="K81" s="309" t="s">
        <v>84</v>
      </c>
      <c r="L81" s="309"/>
      <c r="M81" s="309"/>
      <c r="N81" s="309"/>
    </row>
    <row r="82" spans="1:14">
      <c r="A82" s="86">
        <v>1</v>
      </c>
      <c r="B82" s="278" t="s">
        <v>16</v>
      </c>
      <c r="C82" s="278"/>
      <c r="D82" s="278"/>
      <c r="E82" s="278"/>
      <c r="F82" s="278"/>
      <c r="G82" s="278"/>
      <c r="H82" s="278"/>
      <c r="I82" s="278"/>
      <c r="J82" s="168"/>
      <c r="K82" s="352"/>
      <c r="L82" s="352"/>
      <c r="M82" s="352"/>
      <c r="N82" s="352"/>
    </row>
    <row r="83" spans="1:14">
      <c r="A83" s="86">
        <v>2</v>
      </c>
      <c r="B83" s="280" t="s">
        <v>16</v>
      </c>
      <c r="C83" s="280"/>
      <c r="D83" s="280"/>
      <c r="E83" s="280"/>
      <c r="F83" s="280"/>
      <c r="G83" s="280"/>
      <c r="H83" s="280"/>
      <c r="I83" s="280"/>
      <c r="J83" s="168"/>
      <c r="K83" s="352"/>
      <c r="L83" s="352"/>
      <c r="M83" s="352"/>
      <c r="N83" s="352"/>
    </row>
    <row r="84" spans="1:14">
      <c r="A84" s="86">
        <v>3</v>
      </c>
      <c r="B84" s="280" t="s">
        <v>16</v>
      </c>
      <c r="C84" s="280"/>
      <c r="D84" s="280"/>
      <c r="E84" s="280"/>
      <c r="F84" s="280"/>
      <c r="G84" s="280"/>
      <c r="H84" s="280"/>
      <c r="I84" s="280"/>
      <c r="J84" s="168"/>
      <c r="K84" s="352"/>
      <c r="L84" s="352"/>
      <c r="M84" s="352"/>
      <c r="N84" s="352"/>
    </row>
    <row r="85" spans="1:14">
      <c r="A85" s="86">
        <v>4</v>
      </c>
      <c r="B85" s="280" t="s">
        <v>16</v>
      </c>
      <c r="C85" s="280"/>
      <c r="D85" s="280"/>
      <c r="E85" s="280"/>
      <c r="F85" s="280"/>
      <c r="G85" s="280"/>
      <c r="H85" s="280"/>
      <c r="I85" s="280"/>
      <c r="J85" s="168"/>
      <c r="K85" s="352"/>
      <c r="L85" s="352"/>
      <c r="M85" s="352"/>
      <c r="N85" s="352"/>
    </row>
    <row r="86" spans="1:14">
      <c r="A86" s="86">
        <v>5</v>
      </c>
      <c r="B86" s="280" t="s">
        <v>16</v>
      </c>
      <c r="C86" s="280"/>
      <c r="D86" s="280"/>
      <c r="E86" s="280"/>
      <c r="F86" s="280"/>
      <c r="G86" s="280"/>
      <c r="H86" s="280"/>
      <c r="I86" s="280"/>
      <c r="J86" s="168"/>
      <c r="K86" s="352"/>
      <c r="L86" s="352"/>
      <c r="M86" s="352"/>
      <c r="N86" s="352"/>
    </row>
    <row r="87" spans="1:14">
      <c r="A87" s="86">
        <v>6</v>
      </c>
      <c r="B87" s="280" t="s">
        <v>16</v>
      </c>
      <c r="C87" s="280"/>
      <c r="D87" s="280"/>
      <c r="E87" s="280"/>
      <c r="F87" s="280"/>
      <c r="G87" s="280"/>
      <c r="H87" s="280"/>
      <c r="I87" s="280"/>
      <c r="J87" s="168"/>
      <c r="K87" s="352"/>
      <c r="L87" s="352"/>
      <c r="M87" s="352"/>
      <c r="N87" s="352"/>
    </row>
    <row r="88" spans="1:14" ht="16.149999999999999" thickBot="1">
      <c r="A88" s="86">
        <v>7</v>
      </c>
      <c r="B88" s="285" t="s">
        <v>16</v>
      </c>
      <c r="C88" s="285"/>
      <c r="D88" s="285"/>
      <c r="E88" s="285"/>
      <c r="F88" s="285"/>
      <c r="G88" s="285"/>
      <c r="H88" s="285"/>
      <c r="I88" s="285"/>
      <c r="J88" s="169"/>
      <c r="K88" s="353"/>
      <c r="L88" s="353"/>
      <c r="M88" s="353"/>
      <c r="N88" s="353"/>
    </row>
    <row r="89" spans="1:14" ht="16.149999999999999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s="37" customFormat="1" ht="21.4" thickBot="1">
      <c r="B90" s="274" t="s">
        <v>85</v>
      </c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7"/>
    </row>
    <row r="91" spans="1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s="29" customFormat="1" ht="30.75" customHeight="1">
      <c r="A92" s="129">
        <v>1</v>
      </c>
      <c r="B92" s="281" t="str">
        <f>IF(ACORDS!E33 = "", "", ACORDS!E33)</f>
        <v/>
      </c>
      <c r="C92" s="281"/>
      <c r="D92" s="281"/>
      <c r="E92" s="281"/>
      <c r="F92" s="281"/>
      <c r="G92" s="281"/>
      <c r="H92" s="281"/>
      <c r="I92" s="281"/>
      <c r="J92" s="287" t="s">
        <v>70</v>
      </c>
      <c r="K92" s="288"/>
      <c r="L92" s="288"/>
      <c r="M92" s="288"/>
      <c r="N92" s="289"/>
    </row>
    <row r="93" spans="1:14" s="29" customFormat="1" ht="30.75" customHeight="1">
      <c r="A93" s="129">
        <v>2</v>
      </c>
      <c r="B93" s="281" t="str">
        <f>IF(ACORDS!E34 = "", "", ACORDS!E34)</f>
        <v/>
      </c>
      <c r="C93" s="281"/>
      <c r="D93" s="281"/>
      <c r="E93" s="281"/>
      <c r="F93" s="281"/>
      <c r="G93" s="281"/>
      <c r="H93" s="281"/>
      <c r="I93" s="281"/>
      <c r="J93" s="290"/>
      <c r="K93" s="291"/>
      <c r="L93" s="291"/>
      <c r="M93" s="291"/>
      <c r="N93" s="292"/>
    </row>
    <row r="94" spans="1:14" s="29" customFormat="1" ht="30.75" customHeight="1">
      <c r="A94" s="129">
        <v>3</v>
      </c>
      <c r="B94" s="281" t="str">
        <f>IF(ACORDS!E35 = "", "", ACORDS!E35)</f>
        <v/>
      </c>
      <c r="C94" s="281"/>
      <c r="D94" s="281"/>
      <c r="E94" s="281"/>
      <c r="F94" s="281"/>
      <c r="G94" s="281"/>
      <c r="H94" s="281"/>
      <c r="I94" s="281"/>
      <c r="J94" s="290"/>
      <c r="K94" s="291"/>
      <c r="L94" s="291"/>
      <c r="M94" s="291"/>
      <c r="N94" s="292"/>
    </row>
    <row r="95" spans="1:14" s="29" customFormat="1" ht="30.75" customHeight="1">
      <c r="A95" s="129">
        <v>4</v>
      </c>
      <c r="B95" s="281" t="str">
        <f>IF(ACORDS!E36 = "", "", ACORDS!E36)</f>
        <v/>
      </c>
      <c r="C95" s="281"/>
      <c r="D95" s="281"/>
      <c r="E95" s="281"/>
      <c r="F95" s="281"/>
      <c r="G95" s="281"/>
      <c r="H95" s="281"/>
      <c r="I95" s="281"/>
      <c r="J95" s="290"/>
      <c r="K95" s="291"/>
      <c r="L95" s="291"/>
      <c r="M95" s="291"/>
      <c r="N95" s="292"/>
    </row>
    <row r="96" spans="1:14" s="29" customFormat="1" ht="30.75" customHeight="1">
      <c r="A96" s="129">
        <v>5</v>
      </c>
      <c r="B96" s="281" t="str">
        <f>IF(ACORDS!E37 = "", "", ACORDS!E37)</f>
        <v/>
      </c>
      <c r="C96" s="281"/>
      <c r="D96" s="281"/>
      <c r="E96" s="281"/>
      <c r="F96" s="281"/>
      <c r="G96" s="281"/>
      <c r="H96" s="281"/>
      <c r="I96" s="281"/>
      <c r="J96" s="290"/>
      <c r="K96" s="291"/>
      <c r="L96" s="291"/>
      <c r="M96" s="291"/>
      <c r="N96" s="292"/>
    </row>
    <row r="97" spans="1:14" s="29" customFormat="1" ht="30.75" customHeight="1">
      <c r="A97" s="129">
        <v>6</v>
      </c>
      <c r="B97" s="281" t="str">
        <f>IF(ACORDS!E38 = "", "", ACORDS!E38)</f>
        <v/>
      </c>
      <c r="C97" s="281"/>
      <c r="D97" s="281"/>
      <c r="E97" s="281"/>
      <c r="F97" s="281"/>
      <c r="G97" s="281"/>
      <c r="H97" s="281"/>
      <c r="I97" s="281"/>
      <c r="J97" s="290"/>
      <c r="K97" s="291"/>
      <c r="L97" s="291"/>
      <c r="M97" s="291"/>
      <c r="N97" s="292"/>
    </row>
    <row r="98" spans="1:14" s="29" customFormat="1" ht="30.75" customHeight="1" thickBot="1">
      <c r="A98" s="129">
        <v>7</v>
      </c>
      <c r="B98" s="281" t="str">
        <f>IF(ACORDS!E39 = "", "", ACORDS!E39)</f>
        <v/>
      </c>
      <c r="C98" s="281"/>
      <c r="D98" s="281"/>
      <c r="E98" s="281"/>
      <c r="F98" s="281"/>
      <c r="G98" s="281"/>
      <c r="H98" s="281"/>
      <c r="I98" s="281"/>
      <c r="J98" s="293"/>
      <c r="K98" s="294"/>
      <c r="L98" s="294"/>
      <c r="M98" s="294"/>
      <c r="N98" s="295"/>
    </row>
    <row r="99" spans="1:14" ht="50.25" customHeight="1">
      <c r="B99" s="282" t="s">
        <v>71</v>
      </c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</row>
  </sheetData>
  <mergeCells count="136">
    <mergeCell ref="B96:I96"/>
    <mergeCell ref="B97:I97"/>
    <mergeCell ref="B98:I98"/>
    <mergeCell ref="B99:N99"/>
    <mergeCell ref="B87:I87"/>
    <mergeCell ref="K87:N87"/>
    <mergeCell ref="B88:I88"/>
    <mergeCell ref="K88:N88"/>
    <mergeCell ref="B90:N90"/>
    <mergeCell ref="B92:I92"/>
    <mergeCell ref="J92:N98"/>
    <mergeCell ref="B93:I93"/>
    <mergeCell ref="B94:I94"/>
    <mergeCell ref="B95:I95"/>
    <mergeCell ref="B84:I84"/>
    <mergeCell ref="K84:N84"/>
    <mergeCell ref="B85:I85"/>
    <mergeCell ref="K85:N85"/>
    <mergeCell ref="B86:I86"/>
    <mergeCell ref="K86:N86"/>
    <mergeCell ref="B80:N80"/>
    <mergeCell ref="K81:N81"/>
    <mergeCell ref="B82:I82"/>
    <mergeCell ref="K82:N82"/>
    <mergeCell ref="B83:I83"/>
    <mergeCell ref="K83:N83"/>
    <mergeCell ref="F76:G76"/>
    <mergeCell ref="K76:N76"/>
    <mergeCell ref="F77:G77"/>
    <mergeCell ref="K77:N77"/>
    <mergeCell ref="F78:G78"/>
    <mergeCell ref="K78:N78"/>
    <mergeCell ref="F73:G73"/>
    <mergeCell ref="K73:N73"/>
    <mergeCell ref="F74:G74"/>
    <mergeCell ref="K74:N74"/>
    <mergeCell ref="F75:G75"/>
    <mergeCell ref="K75:N75"/>
    <mergeCell ref="F70:G70"/>
    <mergeCell ref="K70:N70"/>
    <mergeCell ref="F71:G71"/>
    <mergeCell ref="K71:N71"/>
    <mergeCell ref="F72:G72"/>
    <mergeCell ref="K72:N72"/>
    <mergeCell ref="F67:G67"/>
    <mergeCell ref="K67:N67"/>
    <mergeCell ref="F68:G68"/>
    <mergeCell ref="K68:N68"/>
    <mergeCell ref="F69:G69"/>
    <mergeCell ref="K69:N69"/>
    <mergeCell ref="F64:G64"/>
    <mergeCell ref="K64:N64"/>
    <mergeCell ref="F65:G65"/>
    <mergeCell ref="K65:N65"/>
    <mergeCell ref="F66:G66"/>
    <mergeCell ref="K66:N66"/>
    <mergeCell ref="F61:G61"/>
    <mergeCell ref="K61:N61"/>
    <mergeCell ref="F62:G62"/>
    <mergeCell ref="K62:N62"/>
    <mergeCell ref="F63:G63"/>
    <mergeCell ref="K63:N63"/>
    <mergeCell ref="F58:G58"/>
    <mergeCell ref="K58:N58"/>
    <mergeCell ref="F59:G59"/>
    <mergeCell ref="K59:N59"/>
    <mergeCell ref="F60:G60"/>
    <mergeCell ref="K60:N60"/>
    <mergeCell ref="F55:G55"/>
    <mergeCell ref="K55:N55"/>
    <mergeCell ref="F56:G56"/>
    <mergeCell ref="K56:N56"/>
    <mergeCell ref="F57:G57"/>
    <mergeCell ref="K57:N57"/>
    <mergeCell ref="F52:G52"/>
    <mergeCell ref="K52:N52"/>
    <mergeCell ref="F53:G53"/>
    <mergeCell ref="K53:N53"/>
    <mergeCell ref="F54:G54"/>
    <mergeCell ref="K54:N54"/>
    <mergeCell ref="F49:G49"/>
    <mergeCell ref="K49:N49"/>
    <mergeCell ref="F50:G50"/>
    <mergeCell ref="K50:N50"/>
    <mergeCell ref="F51:G51"/>
    <mergeCell ref="K51:N51"/>
    <mergeCell ref="F46:G46"/>
    <mergeCell ref="K46:N46"/>
    <mergeCell ref="F47:G47"/>
    <mergeCell ref="K47:N47"/>
    <mergeCell ref="F48:G48"/>
    <mergeCell ref="K48:N48"/>
    <mergeCell ref="F43:G43"/>
    <mergeCell ref="K43:N43"/>
    <mergeCell ref="F44:G44"/>
    <mergeCell ref="K44:N44"/>
    <mergeCell ref="F45:G45"/>
    <mergeCell ref="K45:N45"/>
    <mergeCell ref="F40:G40"/>
    <mergeCell ref="K40:N40"/>
    <mergeCell ref="F41:G41"/>
    <mergeCell ref="K41:N41"/>
    <mergeCell ref="F42:G42"/>
    <mergeCell ref="K42:N42"/>
    <mergeCell ref="G34:K34"/>
    <mergeCell ref="B36:N36"/>
    <mergeCell ref="F38:G38"/>
    <mergeCell ref="K38:N38"/>
    <mergeCell ref="F39:G39"/>
    <mergeCell ref="K39:N39"/>
    <mergeCell ref="G28:K28"/>
    <mergeCell ref="G29:K29"/>
    <mergeCell ref="G30:K30"/>
    <mergeCell ref="G31:K31"/>
    <mergeCell ref="G32:K32"/>
    <mergeCell ref="G33:K33"/>
    <mergeCell ref="B17:M17"/>
    <mergeCell ref="B18:M18"/>
    <mergeCell ref="B20:N20"/>
    <mergeCell ref="B22:M22"/>
    <mergeCell ref="B24:N24"/>
    <mergeCell ref="G27:K27"/>
    <mergeCell ref="J7:M7"/>
    <mergeCell ref="B9:N9"/>
    <mergeCell ref="B11:M11"/>
    <mergeCell ref="B12:M12"/>
    <mergeCell ref="B14:M14"/>
    <mergeCell ref="B15:M15"/>
    <mergeCell ref="B2:C6"/>
    <mergeCell ref="D2:F6"/>
    <mergeCell ref="G2:G6"/>
    <mergeCell ref="J2:N2"/>
    <mergeCell ref="J3:M3"/>
    <mergeCell ref="J4:M4"/>
    <mergeCell ref="J5:M5"/>
    <mergeCell ref="J6:M6"/>
  </mergeCells>
  <conditionalFormatting sqref="E39:E78">
    <cfRule type="cellIs" dxfId="12" priority="6" operator="equal">
      <formula>"Sí"</formula>
    </cfRule>
  </conditionalFormatting>
  <conditionalFormatting sqref="H39:H78">
    <cfRule type="cellIs" dxfId="11" priority="1" operator="equal">
      <formula>"Sí"</formula>
    </cfRule>
  </conditionalFormatting>
  <conditionalFormatting sqref="J82:J88">
    <cfRule type="containsText" dxfId="9" priority="2" operator="containsText" text="No">
      <formula>NOT(ISERROR(SEARCH("No",J82)))</formula>
    </cfRule>
    <cfRule type="containsText" dxfId="8" priority="3" operator="containsText" text="Procés">
      <formula>NOT(ISERROR(SEARCH("Procés",J82)))</formula>
    </cfRule>
    <cfRule type="containsText" dxfId="7" priority="4" operator="containsText" text="Fet">
      <formula>NOT(ISERROR(SEARCH("Fet",J82)))</formula>
    </cfRule>
  </conditionalFormatting>
  <dataValidations count="2">
    <dataValidation allowBlank="1" showInputMessage="1" showErrorMessage="1" sqref="J6:M6" xr:uid="{27F60B21-BFAC-4B5B-BC6C-B12854311EE7}"/>
    <dataValidation type="date" allowBlank="1" showInputMessage="1" showErrorMessage="1" sqref="J7:M7" xr:uid="{236DB705-87ED-4EE7-B523-2EF14FF42CE3}">
      <formula1>45170</formula1>
      <formula2>47664</formula2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3F4A0D23-0F63-4DC4-A9EC-6FFCF5AE3D49}">
            <xm:f>NOT(ISERROR(SEARCH("No",J39)))</xm:f>
            <xm:f>"No"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J39:J78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4B64-FD46-4D00-87B8-5446DEDE5725}">
  <sheetPr>
    <tabColor theme="7" tint="0.39997558519241921"/>
  </sheetPr>
  <dimension ref="A1:FY84"/>
  <sheetViews>
    <sheetView topLeftCell="I1" workbookViewId="0">
      <selection activeCell="N14" sqref="N14"/>
    </sheetView>
  </sheetViews>
  <sheetFormatPr baseColWidth="10" defaultColWidth="0" defaultRowHeight="15.75" zeroHeight="1"/>
  <cols>
    <col min="1" max="1" width="3.265625" style="1" customWidth="1"/>
    <col min="2" max="2" width="21.73046875" style="1" customWidth="1"/>
    <col min="3" max="3" width="25.265625" style="1" customWidth="1"/>
    <col min="4" max="8" width="12.59765625" style="1" customWidth="1"/>
    <col min="9" max="9" width="15.3984375" style="1" customWidth="1"/>
    <col min="10" max="11" width="15.86328125" style="1" customWidth="1"/>
    <col min="12" max="14" width="12.59765625" style="1" customWidth="1"/>
    <col min="15" max="22" width="0" style="1" hidden="1"/>
    <col min="23" max="181" width="4.3984375" style="1" hidden="1"/>
    <col min="182" max="16383" width="0" style="1" hidden="1"/>
    <col min="16384" max="16384" width="4.73046875" style="1" customWidth="1"/>
  </cols>
  <sheetData>
    <row r="1" spans="2:14" ht="15.75" customHeight="1">
      <c r="B1" s="29"/>
      <c r="C1" s="29"/>
      <c r="D1" s="29"/>
      <c r="E1" s="29"/>
      <c r="F1" s="29"/>
      <c r="G1" s="29"/>
      <c r="H1" s="29"/>
      <c r="I1" s="30" t="s">
        <v>0</v>
      </c>
      <c r="J1" s="30"/>
      <c r="K1" s="30"/>
      <c r="L1" s="31"/>
      <c r="M1" s="30"/>
    </row>
    <row r="2" spans="2:14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2:14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14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14" ht="15.75" customHeight="1">
      <c r="B5" s="197"/>
      <c r="C5" s="197"/>
      <c r="D5" s="197"/>
      <c r="E5" s="197"/>
      <c r="F5" s="197"/>
      <c r="G5" s="197"/>
      <c r="H5" s="32"/>
      <c r="I5" s="71" t="s">
        <v>3</v>
      </c>
      <c r="J5" s="198" t="str">
        <f>INDEX!G5</f>
        <v>2025-2026</v>
      </c>
      <c r="K5" s="198"/>
      <c r="L5" s="198"/>
      <c r="M5" s="198"/>
    </row>
    <row r="6" spans="2:14" ht="15.75" customHeight="1" thickBot="1">
      <c r="B6" s="197"/>
      <c r="C6" s="197"/>
      <c r="D6" s="197"/>
      <c r="E6" s="197"/>
      <c r="F6" s="197"/>
      <c r="G6" s="197"/>
      <c r="H6" s="32"/>
      <c r="I6" s="72" t="s">
        <v>27</v>
      </c>
      <c r="J6" s="199" t="s">
        <v>26</v>
      </c>
      <c r="K6" s="199"/>
      <c r="L6" s="199"/>
      <c r="M6" s="199"/>
    </row>
    <row r="7" spans="2:14">
      <c r="B7" s="29"/>
      <c r="C7" s="29"/>
      <c r="D7" s="32"/>
      <c r="E7" s="32"/>
      <c r="F7" s="32"/>
      <c r="G7" s="32"/>
      <c r="H7" s="32"/>
      <c r="I7" s="73" t="s">
        <v>97</v>
      </c>
      <c r="J7" s="249"/>
      <c r="K7" s="298"/>
      <c r="L7" s="298"/>
      <c r="M7" s="298"/>
    </row>
    <row r="8" spans="2:14" ht="27" customHeight="1"/>
    <row r="9" spans="2:14" s="37" customFormat="1" ht="21">
      <c r="B9" s="196" t="s">
        <v>131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14">
      <c r="B10" s="74" t="s">
        <v>74</v>
      </c>
    </row>
    <row r="11" spans="2:14" ht="19.5" customHeight="1">
      <c r="D11" s="152" t="s">
        <v>87</v>
      </c>
      <c r="F11" s="153"/>
      <c r="L11" s="152" t="s">
        <v>87</v>
      </c>
      <c r="M11" s="152" t="s">
        <v>40</v>
      </c>
      <c r="N11" s="152" t="s">
        <v>117</v>
      </c>
    </row>
    <row r="12" spans="2:14" ht="19.5" customHeight="1">
      <c r="C12" s="94" t="s">
        <v>75</v>
      </c>
      <c r="D12" s="54">
        <f>COUNTIFS($C$24:$C$63,"&lt;&gt;",$D$24:$D$63,"&lt;&gt;Baixa")-COUNTBLANK($C$24:$C$63)</f>
        <v>0</v>
      </c>
      <c r="E12" s="170" t="s">
        <v>132</v>
      </c>
      <c r="G12" s="340" t="s">
        <v>133</v>
      </c>
      <c r="H12" s="340"/>
      <c r="I12" s="340"/>
      <c r="J12" s="340"/>
      <c r="K12" s="340"/>
      <c r="L12" s="158">
        <f>FINAL!L27+EXTRAORD!D17</f>
        <v>0</v>
      </c>
      <c r="M12" s="79" t="str">
        <f>IFERROR(L12/$D$12,"-")</f>
        <v>-</v>
      </c>
      <c r="N12" s="154" t="str">
        <f>IFERROR(L12/($D$15+FINAL!$D$31),"-")</f>
        <v>-</v>
      </c>
    </row>
    <row r="13" spans="2:14" ht="19.5" customHeight="1">
      <c r="C13" s="94" t="s">
        <v>43</v>
      </c>
      <c r="D13" s="54">
        <f>COUNTIFS($D$24:$D$63,"Baixa")</f>
        <v>0</v>
      </c>
      <c r="E13" s="79" t="str">
        <f>IFERROR(D13/$D$12,"-")</f>
        <v>-</v>
      </c>
      <c r="F13" s="155"/>
      <c r="G13" s="354"/>
      <c r="H13" s="354"/>
      <c r="I13" s="354"/>
      <c r="J13" s="354"/>
      <c r="K13" s="354"/>
      <c r="L13" s="171"/>
      <c r="M13" s="172"/>
      <c r="N13" s="173"/>
    </row>
    <row r="14" spans="2:14" ht="19.5" customHeight="1">
      <c r="C14" s="174" t="s">
        <v>134</v>
      </c>
      <c r="D14" s="54">
        <f>COUNTIFS(FINAL!$C$39:$C$78,"&lt;&gt;",FINAL!$D$39:$D$78,"&lt;&gt;Baixa",FINAL!$H$39:$H$78,"Sí")</f>
        <v>0</v>
      </c>
      <c r="E14" s="79" t="str">
        <f>IFERROR(D14/$D$12,"-")</f>
        <v>-</v>
      </c>
      <c r="G14" s="340" t="s">
        <v>123</v>
      </c>
      <c r="H14" s="340"/>
      <c r="I14" s="340"/>
      <c r="J14" s="340"/>
      <c r="K14" s="340"/>
      <c r="L14" s="158">
        <f>FINAL!L33+COUNTIFS($C$24:$C$63,"&lt;&gt;",$D$24:$D$63,"&lt;&gt;Baixa",$G$24:$G$63,"Promociona / Titula")</f>
        <v>0</v>
      </c>
      <c r="M14" s="79" t="str">
        <f>IFERROR(L14/$D$12,"-")</f>
        <v>-</v>
      </c>
      <c r="N14" s="154" t="str">
        <f>IFERROR(L14/($D$15+FINAL!$D$31),"-")</f>
        <v>-</v>
      </c>
    </row>
    <row r="15" spans="2:14" ht="19.5" customHeight="1" thickBot="1">
      <c r="C15" s="77" t="s">
        <v>79</v>
      </c>
      <c r="D15" s="56">
        <v>0</v>
      </c>
      <c r="E15" s="79" t="str">
        <f>IFERROR(D15/$D$14,"-")</f>
        <v>-</v>
      </c>
      <c r="G15" s="340" t="s">
        <v>124</v>
      </c>
      <c r="H15" s="340"/>
      <c r="I15" s="340"/>
      <c r="J15" s="340"/>
      <c r="K15" s="340"/>
      <c r="L15" s="175">
        <f>D12-L14</f>
        <v>0</v>
      </c>
      <c r="M15" s="157" t="str">
        <f>IFERROR(L15/$D$12,"-")</f>
        <v>-</v>
      </c>
      <c r="N15" s="176" t="str">
        <f>IFERROR(L15/($D$15+FINAL!$D$31),"-")</f>
        <v>-</v>
      </c>
    </row>
    <row r="16" spans="2:14" ht="19.5" customHeight="1">
      <c r="C16" s="77" t="s">
        <v>80</v>
      </c>
      <c r="D16" s="56">
        <v>0</v>
      </c>
      <c r="E16" s="79" t="str">
        <f>IFERROR(D16/$D$14,"-")</f>
        <v>-</v>
      </c>
      <c r="G16" s="354"/>
      <c r="H16" s="354"/>
      <c r="I16" s="354"/>
      <c r="J16" s="354"/>
      <c r="K16" s="354"/>
      <c r="L16" s="36"/>
      <c r="M16" s="81"/>
      <c r="N16" s="81"/>
    </row>
    <row r="17" spans="1:14" ht="19.5" customHeight="1" thickBot="1">
      <c r="B17" s="340" t="s">
        <v>135</v>
      </c>
      <c r="C17" s="340"/>
      <c r="D17" s="59">
        <v>0</v>
      </c>
      <c r="E17" s="157" t="str">
        <f>IFERROR(D17/$D$14,"-")</f>
        <v>-</v>
      </c>
      <c r="G17" s="340"/>
      <c r="H17" s="340"/>
      <c r="I17" s="340"/>
      <c r="J17" s="340"/>
      <c r="K17" s="340"/>
    </row>
    <row r="18" spans="1:14" ht="19.5" customHeight="1">
      <c r="D18" s="40"/>
      <c r="E18" s="40"/>
      <c r="F18" s="40"/>
    </row>
    <row r="19" spans="1:14" ht="19.5" customHeight="1">
      <c r="C19" s="40"/>
      <c r="D19" s="40"/>
      <c r="E19" s="40"/>
      <c r="F19" s="40"/>
    </row>
    <row r="20" spans="1:14"/>
    <row r="21" spans="1:14" s="37" customFormat="1" ht="21">
      <c r="B21" s="196" t="s">
        <v>136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</row>
    <row r="22" spans="1:14"/>
    <row r="23" spans="1:14" s="6" customFormat="1" ht="32.25" customHeight="1">
      <c r="B23" s="160" t="s">
        <v>55</v>
      </c>
      <c r="C23" s="64" t="s">
        <v>56</v>
      </c>
      <c r="D23" s="64" t="s">
        <v>113</v>
      </c>
      <c r="E23" s="355" t="s">
        <v>137</v>
      </c>
      <c r="F23" s="355"/>
      <c r="G23" s="355" t="s">
        <v>129</v>
      </c>
      <c r="H23" s="355"/>
      <c r="I23" s="355" t="s">
        <v>138</v>
      </c>
      <c r="J23" s="355"/>
      <c r="K23" s="355"/>
      <c r="L23" s="355"/>
      <c r="M23" s="355"/>
      <c r="N23" s="356"/>
    </row>
    <row r="24" spans="1:14" ht="33" customHeight="1">
      <c r="A24" s="6">
        <v>1</v>
      </c>
      <c r="B24" s="163" t="str">
        <f>IF('0 AVAL'!B36 = "", "", '0 AVAL'!B36)</f>
        <v/>
      </c>
      <c r="C24" s="163" t="str">
        <f>IF('0 AVAL'!C36 = "", "", '0 AVAL'!C36)</f>
        <v/>
      </c>
      <c r="D24" s="164"/>
      <c r="E24" s="348" t="s">
        <v>108</v>
      </c>
      <c r="F24" s="348"/>
      <c r="G24" s="349" t="s">
        <v>108</v>
      </c>
      <c r="H24" s="351"/>
      <c r="I24" s="360"/>
      <c r="J24" s="361"/>
      <c r="K24" s="361"/>
      <c r="L24" s="361"/>
      <c r="M24" s="361"/>
      <c r="N24" s="362"/>
    </row>
    <row r="25" spans="1:14" ht="33" customHeight="1">
      <c r="A25" s="6">
        <v>2</v>
      </c>
      <c r="B25" s="163" t="str">
        <f>IF('0 AVAL'!B37 = "", "", '0 AVAL'!B37)</f>
        <v/>
      </c>
      <c r="C25" s="163" t="str">
        <f>IF('0 AVAL'!C37 = "", "", '0 AVAL'!C37)</f>
        <v/>
      </c>
      <c r="D25" s="145"/>
      <c r="E25" s="348" t="s">
        <v>108</v>
      </c>
      <c r="F25" s="348"/>
      <c r="G25" s="349" t="s">
        <v>108</v>
      </c>
      <c r="H25" s="351"/>
      <c r="I25" s="357"/>
      <c r="J25" s="358"/>
      <c r="K25" s="358"/>
      <c r="L25" s="358"/>
      <c r="M25" s="358"/>
      <c r="N25" s="359"/>
    </row>
    <row r="26" spans="1:14" ht="33" customHeight="1">
      <c r="A26" s="6">
        <v>3</v>
      </c>
      <c r="B26" s="163" t="str">
        <f>IF('0 AVAL'!B38 = "", "", '0 AVAL'!B38)</f>
        <v/>
      </c>
      <c r="C26" s="163" t="str">
        <f>IF('0 AVAL'!C38 = "", "", '0 AVAL'!C38)</f>
        <v/>
      </c>
      <c r="D26" s="145"/>
      <c r="E26" s="348" t="s">
        <v>108</v>
      </c>
      <c r="F26" s="348"/>
      <c r="G26" s="349" t="s">
        <v>108</v>
      </c>
      <c r="H26" s="351"/>
      <c r="I26" s="357"/>
      <c r="J26" s="358"/>
      <c r="K26" s="358"/>
      <c r="L26" s="358"/>
      <c r="M26" s="358"/>
      <c r="N26" s="359"/>
    </row>
    <row r="27" spans="1:14" ht="33" customHeight="1">
      <c r="A27" s="6">
        <v>4</v>
      </c>
      <c r="B27" s="163" t="str">
        <f>IF('0 AVAL'!B39 = "", "", '0 AVAL'!B39)</f>
        <v/>
      </c>
      <c r="C27" s="163" t="str">
        <f>IF('0 AVAL'!C39 = "", "", '0 AVAL'!C39)</f>
        <v/>
      </c>
      <c r="D27" s="145"/>
      <c r="E27" s="348" t="s">
        <v>108</v>
      </c>
      <c r="F27" s="348"/>
      <c r="G27" s="349" t="s">
        <v>108</v>
      </c>
      <c r="H27" s="351"/>
      <c r="I27" s="357"/>
      <c r="J27" s="358"/>
      <c r="K27" s="358"/>
      <c r="L27" s="358"/>
      <c r="M27" s="358"/>
      <c r="N27" s="359"/>
    </row>
    <row r="28" spans="1:14" ht="33" customHeight="1">
      <c r="A28" s="6">
        <v>5</v>
      </c>
      <c r="B28" s="163" t="str">
        <f>IF('0 AVAL'!B40 = "", "", '0 AVAL'!B40)</f>
        <v/>
      </c>
      <c r="C28" s="163" t="str">
        <f>IF('0 AVAL'!C40 = "", "", '0 AVAL'!C40)</f>
        <v/>
      </c>
      <c r="D28" s="145"/>
      <c r="E28" s="348" t="s">
        <v>108</v>
      </c>
      <c r="F28" s="348"/>
      <c r="G28" s="349" t="s">
        <v>108</v>
      </c>
      <c r="H28" s="351"/>
      <c r="I28" s="357"/>
      <c r="J28" s="358"/>
      <c r="K28" s="358"/>
      <c r="L28" s="358"/>
      <c r="M28" s="358"/>
      <c r="N28" s="359"/>
    </row>
    <row r="29" spans="1:14" ht="33" customHeight="1">
      <c r="A29" s="6">
        <v>6</v>
      </c>
      <c r="B29" s="163" t="str">
        <f>IF('0 AVAL'!B41 = "", "", '0 AVAL'!B41)</f>
        <v/>
      </c>
      <c r="C29" s="163" t="str">
        <f>IF('0 AVAL'!C41 = "", "", '0 AVAL'!C41)</f>
        <v/>
      </c>
      <c r="D29" s="145"/>
      <c r="E29" s="348" t="s">
        <v>108</v>
      </c>
      <c r="F29" s="348"/>
      <c r="G29" s="349" t="s">
        <v>108</v>
      </c>
      <c r="H29" s="351"/>
      <c r="I29" s="357"/>
      <c r="J29" s="358"/>
      <c r="K29" s="358"/>
      <c r="L29" s="358"/>
      <c r="M29" s="358"/>
      <c r="N29" s="359"/>
    </row>
    <row r="30" spans="1:14" ht="33" customHeight="1">
      <c r="A30" s="6">
        <v>7</v>
      </c>
      <c r="B30" s="163" t="str">
        <f>IF('0 AVAL'!B42 = "", "", '0 AVAL'!B42)</f>
        <v/>
      </c>
      <c r="C30" s="163" t="str">
        <f>IF('0 AVAL'!C42 = "", "", '0 AVAL'!C42)</f>
        <v/>
      </c>
      <c r="D30" s="145"/>
      <c r="E30" s="348" t="s">
        <v>108</v>
      </c>
      <c r="F30" s="348"/>
      <c r="G30" s="349" t="s">
        <v>108</v>
      </c>
      <c r="H30" s="351"/>
      <c r="I30" s="357"/>
      <c r="J30" s="358"/>
      <c r="K30" s="358"/>
      <c r="L30" s="358"/>
      <c r="M30" s="358"/>
      <c r="N30" s="359"/>
    </row>
    <row r="31" spans="1:14" ht="33" customHeight="1">
      <c r="A31" s="6">
        <v>8</v>
      </c>
      <c r="B31" s="163" t="str">
        <f>IF('0 AVAL'!B43 = "", "", '0 AVAL'!B43)</f>
        <v/>
      </c>
      <c r="C31" s="163" t="str">
        <f>IF('0 AVAL'!C43 = "", "", '0 AVAL'!C43)</f>
        <v/>
      </c>
      <c r="D31" s="145"/>
      <c r="E31" s="348" t="s">
        <v>108</v>
      </c>
      <c r="F31" s="348"/>
      <c r="G31" s="349" t="s">
        <v>108</v>
      </c>
      <c r="H31" s="351"/>
      <c r="I31" s="357"/>
      <c r="J31" s="358"/>
      <c r="K31" s="358"/>
      <c r="L31" s="358"/>
      <c r="M31" s="358"/>
      <c r="N31" s="359"/>
    </row>
    <row r="32" spans="1:14" ht="33" customHeight="1">
      <c r="A32" s="6">
        <v>9</v>
      </c>
      <c r="B32" s="163" t="str">
        <f>IF('0 AVAL'!B44 = "", "", '0 AVAL'!B44)</f>
        <v/>
      </c>
      <c r="C32" s="163" t="str">
        <f>IF('0 AVAL'!C44 = "", "", '0 AVAL'!C44)</f>
        <v/>
      </c>
      <c r="D32" s="145"/>
      <c r="E32" s="348" t="s">
        <v>108</v>
      </c>
      <c r="F32" s="348"/>
      <c r="G32" s="349" t="s">
        <v>108</v>
      </c>
      <c r="H32" s="351"/>
      <c r="I32" s="357"/>
      <c r="J32" s="358"/>
      <c r="K32" s="358"/>
      <c r="L32" s="358"/>
      <c r="M32" s="358"/>
      <c r="N32" s="359"/>
    </row>
    <row r="33" spans="1:14" ht="33" customHeight="1">
      <c r="A33" s="6">
        <v>10</v>
      </c>
      <c r="B33" s="163" t="str">
        <f>IF('0 AVAL'!B45 = "", "", '0 AVAL'!B45)</f>
        <v/>
      </c>
      <c r="C33" s="163" t="str">
        <f>IF('0 AVAL'!C45 = "", "", '0 AVAL'!C45)</f>
        <v/>
      </c>
      <c r="D33" s="145"/>
      <c r="E33" s="348" t="s">
        <v>108</v>
      </c>
      <c r="F33" s="348"/>
      <c r="G33" s="349" t="s">
        <v>108</v>
      </c>
      <c r="H33" s="351"/>
      <c r="I33" s="357"/>
      <c r="J33" s="358"/>
      <c r="K33" s="358"/>
      <c r="L33" s="358"/>
      <c r="M33" s="358"/>
      <c r="N33" s="359"/>
    </row>
    <row r="34" spans="1:14" ht="33" customHeight="1">
      <c r="A34" s="6">
        <v>11</v>
      </c>
      <c r="B34" s="163" t="str">
        <f>IF('0 AVAL'!B46 = "", "", '0 AVAL'!B46)</f>
        <v/>
      </c>
      <c r="C34" s="163" t="str">
        <f>IF('0 AVAL'!C46 = "", "", '0 AVAL'!C46)</f>
        <v/>
      </c>
      <c r="D34" s="145"/>
      <c r="E34" s="348" t="s">
        <v>108</v>
      </c>
      <c r="F34" s="348"/>
      <c r="G34" s="349" t="s">
        <v>108</v>
      </c>
      <c r="H34" s="351"/>
      <c r="I34" s="357"/>
      <c r="J34" s="358"/>
      <c r="K34" s="358"/>
      <c r="L34" s="358"/>
      <c r="M34" s="358"/>
      <c r="N34" s="359"/>
    </row>
    <row r="35" spans="1:14" ht="33" customHeight="1">
      <c r="A35" s="6">
        <v>12</v>
      </c>
      <c r="B35" s="163" t="str">
        <f>IF('0 AVAL'!B47 = "", "", '0 AVAL'!B47)</f>
        <v/>
      </c>
      <c r="C35" s="163" t="str">
        <f>IF('0 AVAL'!C47 = "", "", '0 AVAL'!C47)</f>
        <v/>
      </c>
      <c r="D35" s="145"/>
      <c r="E35" s="348" t="s">
        <v>108</v>
      </c>
      <c r="F35" s="348"/>
      <c r="G35" s="349" t="s">
        <v>108</v>
      </c>
      <c r="H35" s="351"/>
      <c r="I35" s="357"/>
      <c r="J35" s="358"/>
      <c r="K35" s="358"/>
      <c r="L35" s="358"/>
      <c r="M35" s="358"/>
      <c r="N35" s="359"/>
    </row>
    <row r="36" spans="1:14" ht="33" customHeight="1">
      <c r="A36" s="6">
        <v>13</v>
      </c>
      <c r="B36" s="163" t="str">
        <f>IF('0 AVAL'!B48 = "", "", '0 AVAL'!B48)</f>
        <v/>
      </c>
      <c r="C36" s="163" t="str">
        <f>IF('0 AVAL'!C48 = "", "", '0 AVAL'!C48)</f>
        <v/>
      </c>
      <c r="D36" s="145"/>
      <c r="E36" s="348" t="s">
        <v>108</v>
      </c>
      <c r="F36" s="348"/>
      <c r="G36" s="349" t="s">
        <v>108</v>
      </c>
      <c r="H36" s="351"/>
      <c r="I36" s="357"/>
      <c r="J36" s="358"/>
      <c r="K36" s="358"/>
      <c r="L36" s="358"/>
      <c r="M36" s="358"/>
      <c r="N36" s="359"/>
    </row>
    <row r="37" spans="1:14" ht="33" customHeight="1">
      <c r="A37" s="6">
        <v>14</v>
      </c>
      <c r="B37" s="163" t="str">
        <f>IF('0 AVAL'!B49 = "", "", '0 AVAL'!B49)</f>
        <v/>
      </c>
      <c r="C37" s="163" t="str">
        <f>IF('0 AVAL'!C49 = "", "", '0 AVAL'!C49)</f>
        <v/>
      </c>
      <c r="D37" s="145"/>
      <c r="E37" s="348" t="s">
        <v>108</v>
      </c>
      <c r="F37" s="348"/>
      <c r="G37" s="349" t="s">
        <v>108</v>
      </c>
      <c r="H37" s="351"/>
      <c r="I37" s="357"/>
      <c r="J37" s="358"/>
      <c r="K37" s="358"/>
      <c r="L37" s="358"/>
      <c r="M37" s="358"/>
      <c r="N37" s="359"/>
    </row>
    <row r="38" spans="1:14" ht="33" customHeight="1">
      <c r="A38" s="6">
        <v>15</v>
      </c>
      <c r="B38" s="163" t="str">
        <f>IF('0 AVAL'!B50 = "", "", '0 AVAL'!B50)</f>
        <v/>
      </c>
      <c r="C38" s="163" t="str">
        <f>IF('0 AVAL'!C50 = "", "", '0 AVAL'!C50)</f>
        <v/>
      </c>
      <c r="D38" s="145"/>
      <c r="E38" s="348" t="s">
        <v>108</v>
      </c>
      <c r="F38" s="348"/>
      <c r="G38" s="349" t="s">
        <v>108</v>
      </c>
      <c r="H38" s="351"/>
      <c r="I38" s="357"/>
      <c r="J38" s="358"/>
      <c r="K38" s="358"/>
      <c r="L38" s="358"/>
      <c r="M38" s="358"/>
      <c r="N38" s="359"/>
    </row>
    <row r="39" spans="1:14" ht="33" customHeight="1">
      <c r="A39" s="6">
        <v>16</v>
      </c>
      <c r="B39" s="163" t="str">
        <f>IF('0 AVAL'!B51 = "", "", '0 AVAL'!B51)</f>
        <v/>
      </c>
      <c r="C39" s="163" t="str">
        <f>IF('0 AVAL'!C51 = "", "", '0 AVAL'!C51)</f>
        <v/>
      </c>
      <c r="D39" s="145"/>
      <c r="E39" s="348" t="s">
        <v>108</v>
      </c>
      <c r="F39" s="348"/>
      <c r="G39" s="349" t="s">
        <v>108</v>
      </c>
      <c r="H39" s="351"/>
      <c r="I39" s="357"/>
      <c r="J39" s="358"/>
      <c r="K39" s="358"/>
      <c r="L39" s="358"/>
      <c r="M39" s="358"/>
      <c r="N39" s="359"/>
    </row>
    <row r="40" spans="1:14" ht="33" customHeight="1">
      <c r="A40" s="6">
        <v>17</v>
      </c>
      <c r="B40" s="163" t="str">
        <f>IF('0 AVAL'!B52 = "", "", '0 AVAL'!B52)</f>
        <v/>
      </c>
      <c r="C40" s="163" t="str">
        <f>IF('0 AVAL'!C52 = "", "", '0 AVAL'!C52)</f>
        <v/>
      </c>
      <c r="D40" s="145"/>
      <c r="E40" s="348" t="s">
        <v>108</v>
      </c>
      <c r="F40" s="348"/>
      <c r="G40" s="349" t="s">
        <v>108</v>
      </c>
      <c r="H40" s="351"/>
      <c r="I40" s="357"/>
      <c r="J40" s="358"/>
      <c r="K40" s="358"/>
      <c r="L40" s="358"/>
      <c r="M40" s="358"/>
      <c r="N40" s="359"/>
    </row>
    <row r="41" spans="1:14" ht="33" customHeight="1">
      <c r="A41" s="6">
        <v>18</v>
      </c>
      <c r="B41" s="163" t="str">
        <f>IF('0 AVAL'!B53 = "", "", '0 AVAL'!B53)</f>
        <v/>
      </c>
      <c r="C41" s="163" t="str">
        <f>IF('0 AVAL'!C53 = "", "", '0 AVAL'!C53)</f>
        <v/>
      </c>
      <c r="D41" s="145"/>
      <c r="E41" s="348" t="s">
        <v>108</v>
      </c>
      <c r="F41" s="348"/>
      <c r="G41" s="349" t="s">
        <v>108</v>
      </c>
      <c r="H41" s="351"/>
      <c r="I41" s="357"/>
      <c r="J41" s="358"/>
      <c r="K41" s="358"/>
      <c r="L41" s="358"/>
      <c r="M41" s="358"/>
      <c r="N41" s="359"/>
    </row>
    <row r="42" spans="1:14" ht="33" customHeight="1">
      <c r="A42" s="6">
        <v>19</v>
      </c>
      <c r="B42" s="163" t="str">
        <f>IF('0 AVAL'!B54 = "", "", '0 AVAL'!B54)</f>
        <v/>
      </c>
      <c r="C42" s="163" t="str">
        <f>IF('0 AVAL'!C54 = "", "", '0 AVAL'!C54)</f>
        <v/>
      </c>
      <c r="D42" s="145"/>
      <c r="E42" s="348" t="s">
        <v>108</v>
      </c>
      <c r="F42" s="348"/>
      <c r="G42" s="349" t="s">
        <v>108</v>
      </c>
      <c r="H42" s="351"/>
      <c r="I42" s="357"/>
      <c r="J42" s="358"/>
      <c r="K42" s="358"/>
      <c r="L42" s="358"/>
      <c r="M42" s="358"/>
      <c r="N42" s="359"/>
    </row>
    <row r="43" spans="1:14" ht="33" customHeight="1">
      <c r="A43" s="6">
        <v>20</v>
      </c>
      <c r="B43" s="163" t="str">
        <f>IF('0 AVAL'!B55 = "", "", '0 AVAL'!B55)</f>
        <v/>
      </c>
      <c r="C43" s="163" t="str">
        <f>IF('0 AVAL'!C55 = "", "", '0 AVAL'!C55)</f>
        <v/>
      </c>
      <c r="D43" s="145"/>
      <c r="E43" s="348" t="s">
        <v>108</v>
      </c>
      <c r="F43" s="348"/>
      <c r="G43" s="349" t="s">
        <v>108</v>
      </c>
      <c r="H43" s="351"/>
      <c r="I43" s="357"/>
      <c r="J43" s="358"/>
      <c r="K43" s="358"/>
      <c r="L43" s="358"/>
      <c r="M43" s="358"/>
      <c r="N43" s="359"/>
    </row>
    <row r="44" spans="1:14" ht="33" customHeight="1">
      <c r="A44" s="6">
        <v>21</v>
      </c>
      <c r="B44" s="163" t="str">
        <f>IF('0 AVAL'!B56 = "", "", '0 AVAL'!B56)</f>
        <v/>
      </c>
      <c r="C44" s="163" t="str">
        <f>IF('0 AVAL'!C56 = "", "", '0 AVAL'!C56)</f>
        <v/>
      </c>
      <c r="D44" s="145"/>
      <c r="E44" s="348" t="s">
        <v>108</v>
      </c>
      <c r="F44" s="348"/>
      <c r="G44" s="349" t="s">
        <v>108</v>
      </c>
      <c r="H44" s="351"/>
      <c r="I44" s="357"/>
      <c r="J44" s="358"/>
      <c r="K44" s="358"/>
      <c r="L44" s="358"/>
      <c r="M44" s="358"/>
      <c r="N44" s="359"/>
    </row>
    <row r="45" spans="1:14" ht="33" customHeight="1">
      <c r="A45" s="6">
        <v>22</v>
      </c>
      <c r="B45" s="163" t="str">
        <f>IF('0 AVAL'!B57 = "", "", '0 AVAL'!B57)</f>
        <v/>
      </c>
      <c r="C45" s="163" t="str">
        <f>IF('0 AVAL'!C57 = "", "", '0 AVAL'!C57)</f>
        <v/>
      </c>
      <c r="D45" s="145"/>
      <c r="E45" s="348" t="s">
        <v>108</v>
      </c>
      <c r="F45" s="348"/>
      <c r="G45" s="349" t="s">
        <v>108</v>
      </c>
      <c r="H45" s="351"/>
      <c r="I45" s="357"/>
      <c r="J45" s="358"/>
      <c r="K45" s="358"/>
      <c r="L45" s="358"/>
      <c r="M45" s="358"/>
      <c r="N45" s="359"/>
    </row>
    <row r="46" spans="1:14" ht="33" customHeight="1">
      <c r="A46" s="6">
        <v>23</v>
      </c>
      <c r="B46" s="163" t="str">
        <f>IF('0 AVAL'!B58 = "", "", '0 AVAL'!B58)</f>
        <v/>
      </c>
      <c r="C46" s="163" t="str">
        <f>IF('0 AVAL'!C58 = "", "", '0 AVAL'!C58)</f>
        <v/>
      </c>
      <c r="D46" s="145"/>
      <c r="E46" s="348" t="s">
        <v>108</v>
      </c>
      <c r="F46" s="348"/>
      <c r="G46" s="349" t="s">
        <v>108</v>
      </c>
      <c r="H46" s="351"/>
      <c r="I46" s="357"/>
      <c r="J46" s="358"/>
      <c r="K46" s="358"/>
      <c r="L46" s="358"/>
      <c r="M46" s="358"/>
      <c r="N46" s="359"/>
    </row>
    <row r="47" spans="1:14" ht="33" customHeight="1">
      <c r="A47" s="6">
        <v>24</v>
      </c>
      <c r="B47" s="163" t="str">
        <f>IF('0 AVAL'!B59 = "", "", '0 AVAL'!B59)</f>
        <v/>
      </c>
      <c r="C47" s="163" t="str">
        <f>IF('0 AVAL'!C59 = "", "", '0 AVAL'!C59)</f>
        <v/>
      </c>
      <c r="D47" s="145"/>
      <c r="E47" s="348" t="s">
        <v>108</v>
      </c>
      <c r="F47" s="348"/>
      <c r="G47" s="349" t="s">
        <v>108</v>
      </c>
      <c r="H47" s="351"/>
      <c r="I47" s="357"/>
      <c r="J47" s="358"/>
      <c r="K47" s="358"/>
      <c r="L47" s="358"/>
      <c r="M47" s="358"/>
      <c r="N47" s="359"/>
    </row>
    <row r="48" spans="1:14" ht="33" customHeight="1">
      <c r="A48" s="6">
        <v>25</v>
      </c>
      <c r="B48" s="163" t="str">
        <f>IF('0 AVAL'!B60 = "", "", '0 AVAL'!B60)</f>
        <v/>
      </c>
      <c r="C48" s="163" t="str">
        <f>IF('0 AVAL'!C60 = "", "", '0 AVAL'!C60)</f>
        <v/>
      </c>
      <c r="D48" s="145"/>
      <c r="E48" s="348" t="s">
        <v>108</v>
      </c>
      <c r="F48" s="348"/>
      <c r="G48" s="349" t="s">
        <v>108</v>
      </c>
      <c r="H48" s="351"/>
      <c r="I48" s="357"/>
      <c r="J48" s="358"/>
      <c r="K48" s="358"/>
      <c r="L48" s="358"/>
      <c r="M48" s="358"/>
      <c r="N48" s="359"/>
    </row>
    <row r="49" spans="1:14" ht="33" customHeight="1">
      <c r="A49" s="6">
        <v>26</v>
      </c>
      <c r="B49" s="163" t="str">
        <f>IF('0 AVAL'!B61 = "", "", '0 AVAL'!B61)</f>
        <v/>
      </c>
      <c r="C49" s="163" t="str">
        <f>IF('0 AVAL'!C61 = "", "", '0 AVAL'!C61)</f>
        <v/>
      </c>
      <c r="D49" s="145"/>
      <c r="E49" s="348" t="s">
        <v>108</v>
      </c>
      <c r="F49" s="348"/>
      <c r="G49" s="349" t="s">
        <v>108</v>
      </c>
      <c r="H49" s="351"/>
      <c r="I49" s="357"/>
      <c r="J49" s="358"/>
      <c r="K49" s="358"/>
      <c r="L49" s="358"/>
      <c r="M49" s="358"/>
      <c r="N49" s="359"/>
    </row>
    <row r="50" spans="1:14" ht="33" customHeight="1">
      <c r="A50" s="6">
        <v>27</v>
      </c>
      <c r="B50" s="163" t="str">
        <f>IF('0 AVAL'!B62 = "", "", '0 AVAL'!B62)</f>
        <v/>
      </c>
      <c r="C50" s="163" t="str">
        <f>IF('0 AVAL'!C62 = "", "", '0 AVAL'!C62)</f>
        <v/>
      </c>
      <c r="D50" s="145"/>
      <c r="E50" s="348" t="s">
        <v>108</v>
      </c>
      <c r="F50" s="348"/>
      <c r="G50" s="349" t="s">
        <v>108</v>
      </c>
      <c r="H50" s="351"/>
      <c r="I50" s="357"/>
      <c r="J50" s="358"/>
      <c r="K50" s="358"/>
      <c r="L50" s="358"/>
      <c r="M50" s="358"/>
      <c r="N50" s="359"/>
    </row>
    <row r="51" spans="1:14" ht="33" customHeight="1">
      <c r="A51" s="6">
        <v>28</v>
      </c>
      <c r="B51" s="163" t="str">
        <f>IF('0 AVAL'!B63 = "", "", '0 AVAL'!B63)</f>
        <v/>
      </c>
      <c r="C51" s="163" t="str">
        <f>IF('0 AVAL'!C63 = "", "", '0 AVAL'!C63)</f>
        <v/>
      </c>
      <c r="D51" s="145"/>
      <c r="E51" s="348" t="s">
        <v>108</v>
      </c>
      <c r="F51" s="348"/>
      <c r="G51" s="349" t="s">
        <v>108</v>
      </c>
      <c r="H51" s="351"/>
      <c r="I51" s="357"/>
      <c r="J51" s="358"/>
      <c r="K51" s="358"/>
      <c r="L51" s="358"/>
      <c r="M51" s="358"/>
      <c r="N51" s="359"/>
    </row>
    <row r="52" spans="1:14" ht="33" customHeight="1">
      <c r="A52" s="6">
        <v>29</v>
      </c>
      <c r="B52" s="163" t="str">
        <f>IF('0 AVAL'!B64 = "", "", '0 AVAL'!B64)</f>
        <v/>
      </c>
      <c r="C52" s="163" t="str">
        <f>IF('0 AVAL'!C64 = "", "", '0 AVAL'!C64)</f>
        <v/>
      </c>
      <c r="D52" s="145"/>
      <c r="E52" s="348" t="s">
        <v>108</v>
      </c>
      <c r="F52" s="348"/>
      <c r="G52" s="349" t="s">
        <v>108</v>
      </c>
      <c r="H52" s="351"/>
      <c r="I52" s="357"/>
      <c r="J52" s="358"/>
      <c r="K52" s="358"/>
      <c r="L52" s="358"/>
      <c r="M52" s="358"/>
      <c r="N52" s="359"/>
    </row>
    <row r="53" spans="1:14" ht="33" customHeight="1">
      <c r="A53" s="6">
        <v>30</v>
      </c>
      <c r="B53" s="163" t="str">
        <f>IF('0 AVAL'!B65 = "", "", '0 AVAL'!B65)</f>
        <v/>
      </c>
      <c r="C53" s="163" t="str">
        <f>IF('0 AVAL'!C65 = "", "", '0 AVAL'!C65)</f>
        <v/>
      </c>
      <c r="D53" s="145"/>
      <c r="E53" s="348" t="s">
        <v>108</v>
      </c>
      <c r="F53" s="348"/>
      <c r="G53" s="349" t="s">
        <v>108</v>
      </c>
      <c r="H53" s="351"/>
      <c r="I53" s="357"/>
      <c r="J53" s="358"/>
      <c r="K53" s="358"/>
      <c r="L53" s="358"/>
      <c r="M53" s="358"/>
      <c r="N53" s="359"/>
    </row>
    <row r="54" spans="1:14" ht="33" customHeight="1">
      <c r="A54" s="6">
        <v>31</v>
      </c>
      <c r="B54" s="163" t="str">
        <f>IF('0 AVAL'!B66 = "", "", '0 AVAL'!B66)</f>
        <v/>
      </c>
      <c r="C54" s="163" t="str">
        <f>IF('0 AVAL'!C66 = "", "", '0 AVAL'!C66)</f>
        <v/>
      </c>
      <c r="D54" s="145"/>
      <c r="E54" s="348" t="s">
        <v>108</v>
      </c>
      <c r="F54" s="348"/>
      <c r="G54" s="349" t="s">
        <v>108</v>
      </c>
      <c r="H54" s="351"/>
      <c r="I54" s="357"/>
      <c r="J54" s="358"/>
      <c r="K54" s="358"/>
      <c r="L54" s="358"/>
      <c r="M54" s="358"/>
      <c r="N54" s="359"/>
    </row>
    <row r="55" spans="1:14" ht="33" customHeight="1">
      <c r="A55" s="6">
        <v>32</v>
      </c>
      <c r="B55" s="163" t="str">
        <f>IF('0 AVAL'!B67 = "", "", '0 AVAL'!B67)</f>
        <v/>
      </c>
      <c r="C55" s="163" t="str">
        <f>IF('0 AVAL'!C67 = "", "", '0 AVAL'!C67)</f>
        <v/>
      </c>
      <c r="D55" s="145"/>
      <c r="E55" s="348" t="s">
        <v>108</v>
      </c>
      <c r="F55" s="348"/>
      <c r="G55" s="349" t="s">
        <v>108</v>
      </c>
      <c r="H55" s="351"/>
      <c r="I55" s="357"/>
      <c r="J55" s="358"/>
      <c r="K55" s="358"/>
      <c r="L55" s="358"/>
      <c r="M55" s="358"/>
      <c r="N55" s="359"/>
    </row>
    <row r="56" spans="1:14" ht="33" customHeight="1">
      <c r="A56" s="6">
        <v>33</v>
      </c>
      <c r="B56" s="163" t="str">
        <f>IF('0 AVAL'!B68 = "", "", '0 AVAL'!B68)</f>
        <v/>
      </c>
      <c r="C56" s="163" t="str">
        <f>IF('0 AVAL'!C68 = "", "", '0 AVAL'!C68)</f>
        <v/>
      </c>
      <c r="D56" s="145"/>
      <c r="E56" s="348" t="s">
        <v>108</v>
      </c>
      <c r="F56" s="348"/>
      <c r="G56" s="349" t="s">
        <v>108</v>
      </c>
      <c r="H56" s="351"/>
      <c r="I56" s="357"/>
      <c r="J56" s="358"/>
      <c r="K56" s="358"/>
      <c r="L56" s="358"/>
      <c r="M56" s="358"/>
      <c r="N56" s="359"/>
    </row>
    <row r="57" spans="1:14" ht="33" customHeight="1">
      <c r="A57" s="6">
        <v>34</v>
      </c>
      <c r="B57" s="163" t="str">
        <f>IF('0 AVAL'!B69 = "", "", '0 AVAL'!B69)</f>
        <v/>
      </c>
      <c r="C57" s="163" t="str">
        <f>IF('0 AVAL'!C69 = "", "", '0 AVAL'!C69)</f>
        <v/>
      </c>
      <c r="D57" s="145"/>
      <c r="E57" s="348" t="s">
        <v>108</v>
      </c>
      <c r="F57" s="348"/>
      <c r="G57" s="349" t="s">
        <v>108</v>
      </c>
      <c r="H57" s="351"/>
      <c r="I57" s="357"/>
      <c r="J57" s="358"/>
      <c r="K57" s="358"/>
      <c r="L57" s="358"/>
      <c r="M57" s="358"/>
      <c r="N57" s="359"/>
    </row>
    <row r="58" spans="1:14" ht="33" customHeight="1">
      <c r="A58" s="6">
        <v>35</v>
      </c>
      <c r="B58" s="163" t="str">
        <f>IF('0 AVAL'!B70 = "", "", '0 AVAL'!B70)</f>
        <v/>
      </c>
      <c r="C58" s="163" t="str">
        <f>IF('0 AVAL'!C70 = "", "", '0 AVAL'!C70)</f>
        <v/>
      </c>
      <c r="D58" s="145"/>
      <c r="E58" s="348" t="s">
        <v>108</v>
      </c>
      <c r="F58" s="348"/>
      <c r="G58" s="349" t="s">
        <v>108</v>
      </c>
      <c r="H58" s="351"/>
      <c r="I58" s="357"/>
      <c r="J58" s="358"/>
      <c r="K58" s="358"/>
      <c r="L58" s="358"/>
      <c r="M58" s="358"/>
      <c r="N58" s="359"/>
    </row>
    <row r="59" spans="1:14" ht="33" customHeight="1">
      <c r="A59" s="6">
        <v>36</v>
      </c>
      <c r="B59" s="163" t="str">
        <f>IF('0 AVAL'!B71 = "", "", '0 AVAL'!B71)</f>
        <v/>
      </c>
      <c r="C59" s="163" t="str">
        <f>IF('0 AVAL'!C71 = "", "", '0 AVAL'!C71)</f>
        <v/>
      </c>
      <c r="D59" s="145"/>
      <c r="E59" s="348" t="s">
        <v>108</v>
      </c>
      <c r="F59" s="348"/>
      <c r="G59" s="349" t="s">
        <v>108</v>
      </c>
      <c r="H59" s="351"/>
      <c r="I59" s="357"/>
      <c r="J59" s="358"/>
      <c r="K59" s="358"/>
      <c r="L59" s="358"/>
      <c r="M59" s="358"/>
      <c r="N59" s="359"/>
    </row>
    <row r="60" spans="1:14" ht="33" customHeight="1">
      <c r="A60" s="6">
        <v>37</v>
      </c>
      <c r="B60" s="163" t="str">
        <f>IF('0 AVAL'!B72 = "", "", '0 AVAL'!B72)</f>
        <v/>
      </c>
      <c r="C60" s="163" t="str">
        <f>IF('0 AVAL'!C72 = "", "", '0 AVAL'!C72)</f>
        <v/>
      </c>
      <c r="D60" s="145"/>
      <c r="E60" s="348" t="s">
        <v>108</v>
      </c>
      <c r="F60" s="348"/>
      <c r="G60" s="349" t="s">
        <v>108</v>
      </c>
      <c r="H60" s="351"/>
      <c r="I60" s="357"/>
      <c r="J60" s="358"/>
      <c r="K60" s="358"/>
      <c r="L60" s="358"/>
      <c r="M60" s="358"/>
      <c r="N60" s="359"/>
    </row>
    <row r="61" spans="1:14" ht="33" customHeight="1">
      <c r="A61" s="6">
        <v>38</v>
      </c>
      <c r="B61" s="163" t="str">
        <f>IF('0 AVAL'!B73 = "", "", '0 AVAL'!B73)</f>
        <v/>
      </c>
      <c r="C61" s="163" t="str">
        <f>IF('0 AVAL'!C73 = "", "", '0 AVAL'!C73)</f>
        <v/>
      </c>
      <c r="D61" s="145"/>
      <c r="E61" s="348" t="s">
        <v>108</v>
      </c>
      <c r="F61" s="348"/>
      <c r="G61" s="349" t="s">
        <v>108</v>
      </c>
      <c r="H61" s="351"/>
      <c r="I61" s="357"/>
      <c r="J61" s="358"/>
      <c r="K61" s="358"/>
      <c r="L61" s="358"/>
      <c r="M61" s="358"/>
      <c r="N61" s="359"/>
    </row>
    <row r="62" spans="1:14" ht="33" customHeight="1">
      <c r="A62" s="6">
        <v>39</v>
      </c>
      <c r="B62" s="163" t="str">
        <f>IF('0 AVAL'!B74 = "", "", '0 AVAL'!B74)</f>
        <v/>
      </c>
      <c r="C62" s="163" t="str">
        <f>IF('0 AVAL'!C74 = "", "", '0 AVAL'!C74)</f>
        <v/>
      </c>
      <c r="D62" s="145"/>
      <c r="E62" s="348" t="s">
        <v>108</v>
      </c>
      <c r="F62" s="348"/>
      <c r="G62" s="349" t="s">
        <v>108</v>
      </c>
      <c r="H62" s="351"/>
      <c r="I62" s="357"/>
      <c r="J62" s="358"/>
      <c r="K62" s="358"/>
      <c r="L62" s="358"/>
      <c r="M62" s="358"/>
      <c r="N62" s="359"/>
    </row>
    <row r="63" spans="1:14" ht="33" customHeight="1">
      <c r="A63" s="6">
        <v>40</v>
      </c>
      <c r="B63" s="163" t="str">
        <f>IF('0 AVAL'!B75 = "", "", '0 AVAL'!B75)</f>
        <v/>
      </c>
      <c r="C63" s="163" t="str">
        <f>IF('0 AVAL'!C75 = "", "", '0 AVAL'!C75)</f>
        <v/>
      </c>
      <c r="D63" s="145"/>
      <c r="E63" s="348" t="s">
        <v>108</v>
      </c>
      <c r="F63" s="348"/>
      <c r="G63" s="349" t="s">
        <v>108</v>
      </c>
      <c r="H63" s="351"/>
      <c r="I63" s="357"/>
      <c r="J63" s="358"/>
      <c r="K63" s="358"/>
      <c r="L63" s="358"/>
      <c r="M63" s="358"/>
      <c r="N63" s="359"/>
    </row>
    <row r="64" spans="1:14" ht="27" customHeight="1" thickBot="1"/>
    <row r="65" spans="1:14" s="37" customFormat="1" ht="21.4" thickBot="1">
      <c r="B65" s="274" t="s">
        <v>139</v>
      </c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7"/>
    </row>
    <row r="66" spans="1:14">
      <c r="B66" s="2"/>
      <c r="C66" s="2"/>
      <c r="D66" s="2"/>
      <c r="E66" s="2"/>
      <c r="F66" s="2"/>
      <c r="G66" s="2"/>
      <c r="H66" s="2"/>
      <c r="I66" s="2"/>
      <c r="J66" s="85" t="s">
        <v>83</v>
      </c>
      <c r="K66" s="309" t="s">
        <v>84</v>
      </c>
      <c r="L66" s="309"/>
      <c r="M66" s="309"/>
      <c r="N66" s="309"/>
    </row>
    <row r="67" spans="1:14">
      <c r="A67" s="86">
        <v>1</v>
      </c>
      <c r="B67" s="363" t="s">
        <v>16</v>
      </c>
      <c r="C67" s="363"/>
      <c r="D67" s="363"/>
      <c r="E67" s="363"/>
      <c r="F67" s="363"/>
      <c r="G67" s="363"/>
      <c r="H67" s="363"/>
      <c r="I67" s="363"/>
      <c r="J67" s="168"/>
      <c r="K67" s="279"/>
      <c r="L67" s="279"/>
      <c r="M67" s="279"/>
      <c r="N67" s="279"/>
    </row>
    <row r="68" spans="1:14">
      <c r="A68" s="86">
        <v>2</v>
      </c>
      <c r="B68" s="278" t="s">
        <v>16</v>
      </c>
      <c r="C68" s="278"/>
      <c r="D68" s="278"/>
      <c r="E68" s="278"/>
      <c r="F68" s="278"/>
      <c r="G68" s="278"/>
      <c r="H68" s="278"/>
      <c r="I68" s="278"/>
      <c r="J68" s="168"/>
      <c r="K68" s="279"/>
      <c r="L68" s="279"/>
      <c r="M68" s="279"/>
      <c r="N68" s="279"/>
    </row>
    <row r="69" spans="1:14">
      <c r="A69" s="86">
        <v>3</v>
      </c>
      <c r="B69" s="278" t="s">
        <v>16</v>
      </c>
      <c r="C69" s="278"/>
      <c r="D69" s="278"/>
      <c r="E69" s="278"/>
      <c r="F69" s="278"/>
      <c r="G69" s="278"/>
      <c r="H69" s="278"/>
      <c r="I69" s="278"/>
      <c r="J69" s="168"/>
      <c r="K69" s="279"/>
      <c r="L69" s="279"/>
      <c r="M69" s="279"/>
      <c r="N69" s="279"/>
    </row>
    <row r="70" spans="1:14">
      <c r="A70" s="86">
        <v>4</v>
      </c>
      <c r="B70" s="278" t="s">
        <v>16</v>
      </c>
      <c r="C70" s="278"/>
      <c r="D70" s="278"/>
      <c r="E70" s="278"/>
      <c r="F70" s="278"/>
      <c r="G70" s="278"/>
      <c r="H70" s="278"/>
      <c r="I70" s="278"/>
      <c r="J70" s="168"/>
      <c r="K70" s="279"/>
      <c r="L70" s="279"/>
      <c r="M70" s="279"/>
      <c r="N70" s="279"/>
    </row>
    <row r="71" spans="1:14">
      <c r="A71" s="86">
        <v>5</v>
      </c>
      <c r="B71" s="278" t="s">
        <v>16</v>
      </c>
      <c r="C71" s="278"/>
      <c r="D71" s="278"/>
      <c r="E71" s="278"/>
      <c r="F71" s="278"/>
      <c r="G71" s="278"/>
      <c r="H71" s="278"/>
      <c r="I71" s="278"/>
      <c r="J71" s="168"/>
      <c r="K71" s="279"/>
      <c r="L71" s="279"/>
      <c r="M71" s="279"/>
      <c r="N71" s="279"/>
    </row>
    <row r="72" spans="1:14">
      <c r="A72" s="86">
        <v>6</v>
      </c>
      <c r="B72" s="278" t="s">
        <v>16</v>
      </c>
      <c r="C72" s="278"/>
      <c r="D72" s="278"/>
      <c r="E72" s="278"/>
      <c r="F72" s="278"/>
      <c r="G72" s="278"/>
      <c r="H72" s="278"/>
      <c r="I72" s="278"/>
      <c r="J72" s="168"/>
      <c r="K72" s="279"/>
      <c r="L72" s="279"/>
      <c r="M72" s="279"/>
      <c r="N72" s="279"/>
    </row>
    <row r="73" spans="1:14" ht="16.149999999999999" thickBot="1">
      <c r="A73" s="86">
        <v>7</v>
      </c>
      <c r="B73" s="364" t="s">
        <v>16</v>
      </c>
      <c r="C73" s="364"/>
      <c r="D73" s="364"/>
      <c r="E73" s="364"/>
      <c r="F73" s="364"/>
      <c r="G73" s="364"/>
      <c r="H73" s="364"/>
      <c r="I73" s="364"/>
      <c r="J73" s="169"/>
      <c r="K73" s="286"/>
      <c r="L73" s="286"/>
      <c r="M73" s="286"/>
      <c r="N73" s="286"/>
    </row>
    <row r="74" spans="1:14" ht="16.149999999999999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s="37" customFormat="1" ht="21.4" thickBot="1">
      <c r="B75" s="274" t="s">
        <v>140</v>
      </c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7"/>
    </row>
    <row r="76" spans="1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s="29" customFormat="1" ht="30.75" customHeight="1">
      <c r="A77" s="129">
        <v>1</v>
      </c>
      <c r="B77" s="281" t="str">
        <f>IF(ACORDS!E41 = "", "", ACORDS!E41)</f>
        <v/>
      </c>
      <c r="C77" s="281"/>
      <c r="D77" s="281"/>
      <c r="E77" s="281"/>
      <c r="F77" s="281"/>
      <c r="G77" s="281"/>
      <c r="H77" s="281"/>
      <c r="I77" s="281"/>
      <c r="J77" s="287" t="s">
        <v>70</v>
      </c>
      <c r="K77" s="288"/>
      <c r="L77" s="288"/>
      <c r="M77" s="288"/>
      <c r="N77" s="289"/>
    </row>
    <row r="78" spans="1:14" s="29" customFormat="1" ht="30.75" customHeight="1">
      <c r="A78" s="129">
        <v>2</v>
      </c>
      <c r="B78" s="281" t="str">
        <f>IF(ACORDS!E42 = "", "", ACORDS!E42)</f>
        <v/>
      </c>
      <c r="C78" s="281"/>
      <c r="D78" s="281"/>
      <c r="E78" s="281"/>
      <c r="F78" s="281"/>
      <c r="G78" s="281"/>
      <c r="H78" s="281"/>
      <c r="I78" s="281"/>
      <c r="J78" s="290"/>
      <c r="K78" s="291"/>
      <c r="L78" s="291"/>
      <c r="M78" s="291"/>
      <c r="N78" s="292"/>
    </row>
    <row r="79" spans="1:14" s="29" customFormat="1" ht="30.75" customHeight="1">
      <c r="A79" s="129">
        <v>3</v>
      </c>
      <c r="B79" s="281" t="str">
        <f>IF(ACORDS!E43 = "", "", ACORDS!E43)</f>
        <v/>
      </c>
      <c r="C79" s="281"/>
      <c r="D79" s="281"/>
      <c r="E79" s="281"/>
      <c r="F79" s="281"/>
      <c r="G79" s="281"/>
      <c r="H79" s="281"/>
      <c r="I79" s="281"/>
      <c r="J79" s="290"/>
      <c r="K79" s="291"/>
      <c r="L79" s="291"/>
      <c r="M79" s="291"/>
      <c r="N79" s="292"/>
    </row>
    <row r="80" spans="1:14" s="29" customFormat="1" ht="30.75" customHeight="1">
      <c r="A80" s="129">
        <v>4</v>
      </c>
      <c r="B80" s="281" t="str">
        <f>IF(ACORDS!E44 = "", "", ACORDS!E44)</f>
        <v/>
      </c>
      <c r="C80" s="281"/>
      <c r="D80" s="281"/>
      <c r="E80" s="281"/>
      <c r="F80" s="281"/>
      <c r="G80" s="281"/>
      <c r="H80" s="281"/>
      <c r="I80" s="281"/>
      <c r="J80" s="290"/>
      <c r="K80" s="291"/>
      <c r="L80" s="291"/>
      <c r="M80" s="291"/>
      <c r="N80" s="292"/>
    </row>
    <row r="81" spans="1:14" s="29" customFormat="1" ht="30.75" customHeight="1">
      <c r="A81" s="129">
        <v>5</v>
      </c>
      <c r="B81" s="281" t="str">
        <f>IF(ACORDS!E45 = "", "", ACORDS!E45)</f>
        <v/>
      </c>
      <c r="C81" s="281"/>
      <c r="D81" s="281"/>
      <c r="E81" s="281"/>
      <c r="F81" s="281"/>
      <c r="G81" s="281"/>
      <c r="H81" s="281"/>
      <c r="I81" s="281"/>
      <c r="J81" s="290"/>
      <c r="K81" s="291"/>
      <c r="L81" s="291"/>
      <c r="M81" s="291"/>
      <c r="N81" s="292"/>
    </row>
    <row r="82" spans="1:14" s="29" customFormat="1" ht="30.75" customHeight="1">
      <c r="A82" s="129">
        <v>6</v>
      </c>
      <c r="B82" s="281" t="str">
        <f>IF(ACORDS!E46 = "", "", ACORDS!E46)</f>
        <v/>
      </c>
      <c r="C82" s="281"/>
      <c r="D82" s="281"/>
      <c r="E82" s="281"/>
      <c r="F82" s="281"/>
      <c r="G82" s="281"/>
      <c r="H82" s="281"/>
      <c r="I82" s="281"/>
      <c r="J82" s="290"/>
      <c r="K82" s="291"/>
      <c r="L82" s="291"/>
      <c r="M82" s="291"/>
      <c r="N82" s="292"/>
    </row>
    <row r="83" spans="1:14" s="29" customFormat="1" ht="30.75" customHeight="1" thickBot="1">
      <c r="A83" s="129">
        <v>7</v>
      </c>
      <c r="B83" s="281" t="str">
        <f>IF(ACORDS!E47 = "", "", ACORDS!E47)</f>
        <v/>
      </c>
      <c r="C83" s="281"/>
      <c r="D83" s="281"/>
      <c r="E83" s="281"/>
      <c r="F83" s="281"/>
      <c r="G83" s="281"/>
      <c r="H83" s="281"/>
      <c r="I83" s="281"/>
      <c r="J83" s="293"/>
      <c r="K83" s="294"/>
      <c r="L83" s="294"/>
      <c r="M83" s="294"/>
      <c r="N83" s="295"/>
    </row>
    <row r="84" spans="1:14" ht="50.25" customHeight="1">
      <c r="B84" s="282" t="s">
        <v>71</v>
      </c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</row>
  </sheetData>
  <mergeCells count="167">
    <mergeCell ref="B81:I81"/>
    <mergeCell ref="B82:I82"/>
    <mergeCell ref="B83:I83"/>
    <mergeCell ref="B84:N84"/>
    <mergeCell ref="B72:I72"/>
    <mergeCell ref="K72:N72"/>
    <mergeCell ref="B73:I73"/>
    <mergeCell ref="K73:N73"/>
    <mergeCell ref="B75:N75"/>
    <mergeCell ref="B77:I77"/>
    <mergeCell ref="J77:N83"/>
    <mergeCell ref="B78:I78"/>
    <mergeCell ref="B79:I79"/>
    <mergeCell ref="B80:I80"/>
    <mergeCell ref="B69:I69"/>
    <mergeCell ref="K69:N69"/>
    <mergeCell ref="B70:I70"/>
    <mergeCell ref="K70:N70"/>
    <mergeCell ref="B71:I71"/>
    <mergeCell ref="K71:N71"/>
    <mergeCell ref="B65:N65"/>
    <mergeCell ref="K66:N66"/>
    <mergeCell ref="B67:I67"/>
    <mergeCell ref="K67:N67"/>
    <mergeCell ref="B68:I68"/>
    <mergeCell ref="K68:N68"/>
    <mergeCell ref="E62:F62"/>
    <mergeCell ref="G62:H62"/>
    <mergeCell ref="I62:N62"/>
    <mergeCell ref="E63:F63"/>
    <mergeCell ref="G63:H63"/>
    <mergeCell ref="I63:N63"/>
    <mergeCell ref="E60:F60"/>
    <mergeCell ref="G60:H60"/>
    <mergeCell ref="I60:N60"/>
    <mergeCell ref="E61:F61"/>
    <mergeCell ref="G61:H61"/>
    <mergeCell ref="I61:N61"/>
    <mergeCell ref="E58:F58"/>
    <mergeCell ref="G58:H58"/>
    <mergeCell ref="I58:N58"/>
    <mergeCell ref="E59:F59"/>
    <mergeCell ref="G59:H59"/>
    <mergeCell ref="I59:N59"/>
    <mergeCell ref="E56:F56"/>
    <mergeCell ref="G56:H56"/>
    <mergeCell ref="I56:N56"/>
    <mergeCell ref="E57:F57"/>
    <mergeCell ref="G57:H57"/>
    <mergeCell ref="I57:N57"/>
    <mergeCell ref="E54:F54"/>
    <mergeCell ref="G54:H54"/>
    <mergeCell ref="I54:N54"/>
    <mergeCell ref="E55:F55"/>
    <mergeCell ref="G55:H55"/>
    <mergeCell ref="I55:N55"/>
    <mergeCell ref="E52:F52"/>
    <mergeCell ref="G52:H52"/>
    <mergeCell ref="I52:N52"/>
    <mergeCell ref="E53:F53"/>
    <mergeCell ref="G53:H53"/>
    <mergeCell ref="I53:N53"/>
    <mergeCell ref="E50:F50"/>
    <mergeCell ref="G50:H50"/>
    <mergeCell ref="I50:N50"/>
    <mergeCell ref="E51:F51"/>
    <mergeCell ref="G51:H51"/>
    <mergeCell ref="I51:N51"/>
    <mergeCell ref="E48:F48"/>
    <mergeCell ref="G48:H48"/>
    <mergeCell ref="I48:N48"/>
    <mergeCell ref="E49:F49"/>
    <mergeCell ref="G49:H49"/>
    <mergeCell ref="I49:N49"/>
    <mergeCell ref="E46:F46"/>
    <mergeCell ref="G46:H46"/>
    <mergeCell ref="I46:N46"/>
    <mergeCell ref="E47:F47"/>
    <mergeCell ref="G47:H47"/>
    <mergeCell ref="I47:N47"/>
    <mergeCell ref="E44:F44"/>
    <mergeCell ref="G44:H44"/>
    <mergeCell ref="I44:N44"/>
    <mergeCell ref="E45:F45"/>
    <mergeCell ref="G45:H45"/>
    <mergeCell ref="I45:N45"/>
    <mergeCell ref="E42:F42"/>
    <mergeCell ref="G42:H42"/>
    <mergeCell ref="I42:N42"/>
    <mergeCell ref="E43:F43"/>
    <mergeCell ref="G43:H43"/>
    <mergeCell ref="I43:N43"/>
    <mergeCell ref="E40:F40"/>
    <mergeCell ref="G40:H40"/>
    <mergeCell ref="I40:N40"/>
    <mergeCell ref="E41:F41"/>
    <mergeCell ref="G41:H41"/>
    <mergeCell ref="I41:N41"/>
    <mergeCell ref="E38:F38"/>
    <mergeCell ref="G38:H38"/>
    <mergeCell ref="I38:N38"/>
    <mergeCell ref="E39:F39"/>
    <mergeCell ref="G39:H39"/>
    <mergeCell ref="I39:N39"/>
    <mergeCell ref="E36:F36"/>
    <mergeCell ref="G36:H36"/>
    <mergeCell ref="I36:N36"/>
    <mergeCell ref="E37:F37"/>
    <mergeCell ref="G37:H37"/>
    <mergeCell ref="I37:N37"/>
    <mergeCell ref="E34:F34"/>
    <mergeCell ref="G34:H34"/>
    <mergeCell ref="I34:N34"/>
    <mergeCell ref="E35:F35"/>
    <mergeCell ref="G35:H35"/>
    <mergeCell ref="I35:N35"/>
    <mergeCell ref="E32:F32"/>
    <mergeCell ref="G32:H32"/>
    <mergeCell ref="I32:N32"/>
    <mergeCell ref="E33:F33"/>
    <mergeCell ref="G33:H33"/>
    <mergeCell ref="I33:N33"/>
    <mergeCell ref="E30:F30"/>
    <mergeCell ref="G30:H30"/>
    <mergeCell ref="I30:N30"/>
    <mergeCell ref="E31:F31"/>
    <mergeCell ref="G31:H31"/>
    <mergeCell ref="I31:N31"/>
    <mergeCell ref="E28:F28"/>
    <mergeCell ref="G28:H28"/>
    <mergeCell ref="I28:N28"/>
    <mergeCell ref="E29:F29"/>
    <mergeCell ref="G29:H29"/>
    <mergeCell ref="I29:N29"/>
    <mergeCell ref="E26:F26"/>
    <mergeCell ref="G26:H26"/>
    <mergeCell ref="I26:N26"/>
    <mergeCell ref="E27:F27"/>
    <mergeCell ref="G27:H27"/>
    <mergeCell ref="I27:N27"/>
    <mergeCell ref="E24:F24"/>
    <mergeCell ref="G24:H24"/>
    <mergeCell ref="I24:N24"/>
    <mergeCell ref="E25:F25"/>
    <mergeCell ref="G25:H25"/>
    <mergeCell ref="I25:N25"/>
    <mergeCell ref="B17:C17"/>
    <mergeCell ref="G17:K17"/>
    <mergeCell ref="B21:N21"/>
    <mergeCell ref="E23:F23"/>
    <mergeCell ref="G23:H23"/>
    <mergeCell ref="I23:N23"/>
    <mergeCell ref="J7:M7"/>
    <mergeCell ref="B9:N9"/>
    <mergeCell ref="G12:K12"/>
    <mergeCell ref="G13:K13"/>
    <mergeCell ref="G14:K14"/>
    <mergeCell ref="G15:K15"/>
    <mergeCell ref="B2:C6"/>
    <mergeCell ref="D2:F6"/>
    <mergeCell ref="G2:G6"/>
    <mergeCell ref="J2:N2"/>
    <mergeCell ref="J3:M3"/>
    <mergeCell ref="J4:M4"/>
    <mergeCell ref="J5:M5"/>
    <mergeCell ref="J6:M6"/>
    <mergeCell ref="G16:K16"/>
  </mergeCells>
  <conditionalFormatting sqref="E24:F63">
    <cfRule type="containsText" dxfId="6" priority="5" operator="containsText" text="tots">
      <formula>NOT(ISERROR(SEARCH("tots",E24)))</formula>
    </cfRule>
    <cfRule type="containsText" dxfId="5" priority="6" operator="containsText" text="algun">
      <formula>NOT(ISERROR(SEARCH("algun",E24)))</formula>
    </cfRule>
    <cfRule type="containsText" dxfId="4" priority="7" operator="containsText" text="No">
      <formula>NOT(ISERROR(SEARCH("No",E24)))</formula>
    </cfRule>
  </conditionalFormatting>
  <conditionalFormatting sqref="J67:J73">
    <cfRule type="containsText" dxfId="2" priority="2" operator="containsText" text="No">
      <formula>NOT(ISERROR(SEARCH("No",J67)))</formula>
    </cfRule>
    <cfRule type="containsText" dxfId="1" priority="3" operator="containsText" text="Procés">
      <formula>NOT(ISERROR(SEARCH("Procés",J67)))</formula>
    </cfRule>
    <cfRule type="containsText" dxfId="0" priority="4" operator="containsText" text="Fet">
      <formula>NOT(ISERROR(SEARCH("Fet",J67)))</formula>
    </cfRule>
  </conditionalFormatting>
  <dataValidations count="2">
    <dataValidation allowBlank="1" showInputMessage="1" showErrorMessage="1" sqref="J6:M6" xr:uid="{8FDE2439-838A-408C-9032-A428F6E53A8C}"/>
    <dataValidation type="date" allowBlank="1" showInputMessage="1" showErrorMessage="1" sqref="J7:M7" xr:uid="{9CC6BFC5-F960-460B-9CF5-FEDFB8C82277}">
      <formula1>45170</formula1>
      <formula2>47664</formula2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DB551E1-0DF7-4323-AD0B-C3EFB41D964F}">
            <xm:f>NOT(ISERROR(SEARCH("No",G24)))</xm:f>
            <xm:f>"No"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G24:G63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2992-6396-40F4-B59D-0587FB025778}">
  <sheetPr>
    <tabColor theme="7" tint="0.79998168889431442"/>
  </sheetPr>
  <dimension ref="A1:FY79"/>
  <sheetViews>
    <sheetView workbookViewId="0">
      <selection activeCell="B28" sqref="B28:C67"/>
    </sheetView>
  </sheetViews>
  <sheetFormatPr baseColWidth="10" defaultColWidth="0" defaultRowHeight="15.75" zeroHeight="1"/>
  <cols>
    <col min="1" max="1" width="3.265625" style="1" customWidth="1"/>
    <col min="2" max="2" width="21.73046875" style="1" customWidth="1"/>
    <col min="3" max="3" width="25.265625" style="1" customWidth="1"/>
    <col min="4" max="8" width="12.59765625" style="1" customWidth="1"/>
    <col min="9" max="9" width="15.86328125" style="1" customWidth="1"/>
    <col min="10" max="13" width="12.59765625" style="1" customWidth="1"/>
    <col min="14" max="14" width="2.73046875" style="1" customWidth="1"/>
    <col min="15" max="22" width="0" style="1" hidden="1"/>
    <col min="23" max="181" width="4.3984375" style="1" hidden="1"/>
    <col min="182" max="16383" width="0" style="1" hidden="1"/>
    <col min="16384" max="16384" width="5" style="1" customWidth="1"/>
  </cols>
  <sheetData>
    <row r="1" spans="2:25" ht="29.25" customHeight="1">
      <c r="B1" s="29"/>
      <c r="C1" s="29"/>
      <c r="D1" s="29"/>
      <c r="E1" s="29"/>
      <c r="F1" s="29"/>
      <c r="G1" s="29"/>
      <c r="H1" s="29"/>
      <c r="I1" s="177" t="s">
        <v>141</v>
      </c>
      <c r="J1" s="30"/>
      <c r="K1" s="30"/>
      <c r="L1" s="31" t="s">
        <v>142</v>
      </c>
      <c r="M1" s="30"/>
    </row>
    <row r="2" spans="2:25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2:25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25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25" ht="15.75" hidden="1" customHeight="1">
      <c r="B5" s="197"/>
      <c r="C5" s="197"/>
      <c r="D5" s="197"/>
      <c r="E5" s="197"/>
      <c r="F5" s="197"/>
      <c r="G5" s="197"/>
      <c r="H5" s="32"/>
      <c r="J5" s="198"/>
      <c r="K5" s="198"/>
      <c r="L5" s="198"/>
      <c r="M5" s="198"/>
    </row>
    <row r="6" spans="2:25" ht="15.75" customHeight="1" thickBot="1">
      <c r="B6" s="197"/>
      <c r="C6" s="197"/>
      <c r="D6" s="197"/>
      <c r="E6" s="197"/>
      <c r="F6" s="197"/>
      <c r="G6" s="197"/>
      <c r="H6" s="32"/>
      <c r="I6" s="71" t="s">
        <v>3</v>
      </c>
      <c r="J6" s="198" t="str">
        <f>INDEX!G5</f>
        <v>2025-2026</v>
      </c>
      <c r="K6" s="198"/>
      <c r="L6" s="198"/>
      <c r="M6" s="198"/>
    </row>
    <row r="7" spans="2:25">
      <c r="B7" s="29"/>
      <c r="C7" s="29"/>
      <c r="D7" s="32"/>
      <c r="E7" s="32"/>
      <c r="F7" s="32"/>
      <c r="G7" s="32"/>
      <c r="H7" s="32"/>
      <c r="I7" s="73" t="s">
        <v>97</v>
      </c>
      <c r="J7" s="249"/>
      <c r="K7" s="298"/>
      <c r="L7" s="298"/>
      <c r="M7" s="298"/>
    </row>
    <row r="8" spans="2:25"/>
    <row r="9" spans="2:25" s="37" customFormat="1" ht="21">
      <c r="B9" s="196" t="s">
        <v>143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25"/>
    <row r="11" spans="2:25" ht="15.6" customHeight="1">
      <c r="B11" s="250" t="s">
        <v>144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</row>
    <row r="12" spans="2:25" ht="56.25" customHeight="1"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7"/>
    </row>
    <row r="13" spans="2:25"/>
    <row r="14" spans="2:25">
      <c r="B14" s="250" t="s">
        <v>145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</row>
    <row r="15" spans="2:25" ht="56.25" customHeight="1">
      <c r="B15" s="365"/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7"/>
    </row>
    <row r="16" spans="2:25" ht="0" hidden="1" customHeight="1"/>
    <row r="17" spans="1:14">
      <c r="B17" s="178" t="s">
        <v>146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</row>
    <row r="18" spans="1:14" ht="56.25" customHeight="1">
      <c r="B18" s="365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7"/>
    </row>
    <row r="19" spans="1:14"/>
    <row r="20" spans="1:14" s="37" customFormat="1" ht="21">
      <c r="B20" s="196" t="s">
        <v>147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/>
    <row r="22" spans="1:14" ht="15.6" customHeight="1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70"/>
    </row>
    <row r="23" spans="1:14" ht="253.5" customHeight="1">
      <c r="B23" s="371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3"/>
    </row>
    <row r="24" spans="1:14"/>
    <row r="25" spans="1:14" s="37" customFormat="1" ht="21">
      <c r="B25" s="196" t="s">
        <v>148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</row>
    <row r="26" spans="1:14"/>
    <row r="27" spans="1:14" s="6" customFormat="1" ht="45.75" customHeight="1">
      <c r="B27" s="179" t="s">
        <v>55</v>
      </c>
      <c r="C27" s="180" t="s">
        <v>56</v>
      </c>
      <c r="D27" s="180" t="s">
        <v>149</v>
      </c>
      <c r="E27" s="251" t="s">
        <v>150</v>
      </c>
      <c r="F27" s="251"/>
      <c r="G27" s="251"/>
      <c r="H27" s="251"/>
      <c r="I27" s="251"/>
      <c r="J27" s="251"/>
      <c r="K27" s="251"/>
      <c r="L27" s="251"/>
      <c r="M27" s="251"/>
      <c r="N27" s="252"/>
    </row>
    <row r="28" spans="1:14" ht="47.25" customHeight="1">
      <c r="A28" s="6">
        <v>1</v>
      </c>
      <c r="B28" s="163" t="str">
        <f>IF('0 AVAL'!B36 = "", "", '0 AVAL'!B36)</f>
        <v/>
      </c>
      <c r="C28" s="163" t="str">
        <f>IF('0 AVAL'!C36 = "", "", '0 AVAL'!C36)</f>
        <v/>
      </c>
      <c r="D28" s="164"/>
      <c r="E28" s="377" t="s">
        <v>151</v>
      </c>
      <c r="F28" s="378"/>
      <c r="G28" s="378"/>
      <c r="H28" s="378"/>
      <c r="I28" s="378"/>
      <c r="J28" s="378"/>
      <c r="K28" s="378"/>
      <c r="L28" s="378"/>
      <c r="M28" s="378"/>
      <c r="N28" s="379"/>
    </row>
    <row r="29" spans="1:14" ht="47.25" customHeight="1">
      <c r="A29" s="6">
        <v>2</v>
      </c>
      <c r="B29" s="163" t="str">
        <f>IF('0 AVAL'!B37 = "", "", '0 AVAL'!B37)</f>
        <v/>
      </c>
      <c r="C29" s="163" t="str">
        <f>IF('0 AVAL'!C37 = "", "", '0 AVAL'!C37)</f>
        <v/>
      </c>
      <c r="D29" s="145"/>
      <c r="E29" s="374"/>
      <c r="F29" s="375"/>
      <c r="G29" s="375"/>
      <c r="H29" s="375"/>
      <c r="I29" s="375"/>
      <c r="J29" s="375"/>
      <c r="K29" s="375"/>
      <c r="L29" s="375"/>
      <c r="M29" s="375"/>
      <c r="N29" s="376"/>
    </row>
    <row r="30" spans="1:14" ht="47.25" customHeight="1">
      <c r="A30" s="6">
        <v>3</v>
      </c>
      <c r="B30" s="163" t="str">
        <f>IF('0 AVAL'!B38 = "", "", '0 AVAL'!B38)</f>
        <v/>
      </c>
      <c r="C30" s="163" t="str">
        <f>IF('0 AVAL'!C38 = "", "", '0 AVAL'!C38)</f>
        <v/>
      </c>
      <c r="D30" s="145"/>
      <c r="E30" s="374"/>
      <c r="F30" s="375"/>
      <c r="G30" s="375"/>
      <c r="H30" s="375"/>
      <c r="I30" s="375"/>
      <c r="J30" s="375"/>
      <c r="K30" s="375"/>
      <c r="L30" s="375"/>
      <c r="M30" s="375"/>
      <c r="N30" s="376"/>
    </row>
    <row r="31" spans="1:14" ht="47.25" customHeight="1">
      <c r="A31" s="6">
        <v>4</v>
      </c>
      <c r="B31" s="163" t="str">
        <f>IF('0 AVAL'!B39 = "", "", '0 AVAL'!B39)</f>
        <v/>
      </c>
      <c r="C31" s="163" t="str">
        <f>IF('0 AVAL'!C39 = "", "", '0 AVAL'!C39)</f>
        <v/>
      </c>
      <c r="D31" s="145"/>
      <c r="E31" s="374"/>
      <c r="F31" s="375"/>
      <c r="G31" s="375"/>
      <c r="H31" s="375"/>
      <c r="I31" s="375"/>
      <c r="J31" s="375"/>
      <c r="K31" s="375"/>
      <c r="L31" s="375"/>
      <c r="M31" s="375"/>
      <c r="N31" s="376"/>
    </row>
    <row r="32" spans="1:14" ht="47.25" customHeight="1">
      <c r="A32" s="6">
        <v>5</v>
      </c>
      <c r="B32" s="163" t="str">
        <f>IF('0 AVAL'!B40 = "", "", '0 AVAL'!B40)</f>
        <v/>
      </c>
      <c r="C32" s="163" t="str">
        <f>IF('0 AVAL'!C40 = "", "", '0 AVAL'!C40)</f>
        <v/>
      </c>
      <c r="D32" s="145"/>
      <c r="E32" s="374"/>
      <c r="F32" s="375"/>
      <c r="G32" s="375"/>
      <c r="H32" s="375"/>
      <c r="I32" s="375"/>
      <c r="J32" s="375"/>
      <c r="K32" s="375"/>
      <c r="L32" s="375"/>
      <c r="M32" s="375"/>
      <c r="N32" s="376"/>
    </row>
    <row r="33" spans="1:14" ht="47.25" customHeight="1">
      <c r="A33" s="6">
        <v>6</v>
      </c>
      <c r="B33" s="163" t="str">
        <f>IF('0 AVAL'!B41 = "", "", '0 AVAL'!B41)</f>
        <v/>
      </c>
      <c r="C33" s="163" t="str">
        <f>IF('0 AVAL'!C41 = "", "", '0 AVAL'!C41)</f>
        <v/>
      </c>
      <c r="D33" s="145"/>
      <c r="E33" s="374"/>
      <c r="F33" s="375"/>
      <c r="G33" s="375"/>
      <c r="H33" s="375"/>
      <c r="I33" s="375"/>
      <c r="J33" s="375"/>
      <c r="K33" s="375"/>
      <c r="L33" s="375"/>
      <c r="M33" s="375"/>
      <c r="N33" s="376"/>
    </row>
    <row r="34" spans="1:14" ht="47.25" customHeight="1">
      <c r="A34" s="6">
        <v>7</v>
      </c>
      <c r="B34" s="163" t="str">
        <f>IF('0 AVAL'!B42 = "", "", '0 AVAL'!B42)</f>
        <v/>
      </c>
      <c r="C34" s="163" t="str">
        <f>IF('0 AVAL'!C42 = "", "", '0 AVAL'!C42)</f>
        <v/>
      </c>
      <c r="D34" s="145"/>
      <c r="E34" s="374"/>
      <c r="F34" s="375"/>
      <c r="G34" s="375"/>
      <c r="H34" s="375"/>
      <c r="I34" s="375"/>
      <c r="J34" s="375"/>
      <c r="K34" s="375"/>
      <c r="L34" s="375"/>
      <c r="M34" s="375"/>
      <c r="N34" s="376"/>
    </row>
    <row r="35" spans="1:14" ht="47.25" customHeight="1">
      <c r="A35" s="6">
        <v>8</v>
      </c>
      <c r="B35" s="163" t="str">
        <f>IF('0 AVAL'!B43 = "", "", '0 AVAL'!B43)</f>
        <v/>
      </c>
      <c r="C35" s="163" t="str">
        <f>IF('0 AVAL'!C43 = "", "", '0 AVAL'!C43)</f>
        <v/>
      </c>
      <c r="D35" s="145"/>
      <c r="E35" s="374"/>
      <c r="F35" s="375"/>
      <c r="G35" s="375"/>
      <c r="H35" s="375"/>
      <c r="I35" s="375"/>
      <c r="J35" s="375"/>
      <c r="K35" s="375"/>
      <c r="L35" s="375"/>
      <c r="M35" s="375"/>
      <c r="N35" s="376"/>
    </row>
    <row r="36" spans="1:14" ht="47.25" customHeight="1">
      <c r="A36" s="6">
        <v>9</v>
      </c>
      <c r="B36" s="163" t="str">
        <f>IF('0 AVAL'!B44 = "", "", '0 AVAL'!B44)</f>
        <v/>
      </c>
      <c r="C36" s="163" t="str">
        <f>IF('0 AVAL'!C44 = "", "", '0 AVAL'!C44)</f>
        <v/>
      </c>
      <c r="D36" s="145"/>
      <c r="E36" s="374"/>
      <c r="F36" s="375"/>
      <c r="G36" s="375"/>
      <c r="H36" s="375"/>
      <c r="I36" s="375"/>
      <c r="J36" s="375"/>
      <c r="K36" s="375"/>
      <c r="L36" s="375"/>
      <c r="M36" s="375"/>
      <c r="N36" s="376"/>
    </row>
    <row r="37" spans="1:14" ht="47.25" customHeight="1">
      <c r="A37" s="6">
        <v>10</v>
      </c>
      <c r="B37" s="163" t="str">
        <f>IF('0 AVAL'!B45 = "", "", '0 AVAL'!B45)</f>
        <v/>
      </c>
      <c r="C37" s="163" t="str">
        <f>IF('0 AVAL'!C45 = "", "", '0 AVAL'!C45)</f>
        <v/>
      </c>
      <c r="D37" s="145"/>
      <c r="E37" s="374"/>
      <c r="F37" s="375"/>
      <c r="G37" s="375"/>
      <c r="H37" s="375"/>
      <c r="I37" s="375"/>
      <c r="J37" s="375"/>
      <c r="K37" s="375"/>
      <c r="L37" s="375"/>
      <c r="M37" s="375"/>
      <c r="N37" s="376"/>
    </row>
    <row r="38" spans="1:14" ht="47.25" customHeight="1">
      <c r="A38" s="6">
        <v>11</v>
      </c>
      <c r="B38" s="163" t="str">
        <f>IF('0 AVAL'!B46 = "", "", '0 AVAL'!B46)</f>
        <v/>
      </c>
      <c r="C38" s="163" t="str">
        <f>IF('0 AVAL'!C46 = "", "", '0 AVAL'!C46)</f>
        <v/>
      </c>
      <c r="D38" s="145"/>
      <c r="E38" s="374"/>
      <c r="F38" s="375"/>
      <c r="G38" s="375"/>
      <c r="H38" s="375"/>
      <c r="I38" s="375"/>
      <c r="J38" s="375"/>
      <c r="K38" s="375"/>
      <c r="L38" s="375"/>
      <c r="M38" s="375"/>
      <c r="N38" s="376"/>
    </row>
    <row r="39" spans="1:14" ht="47.25" customHeight="1">
      <c r="A39" s="6">
        <v>12</v>
      </c>
      <c r="B39" s="163" t="str">
        <f>IF('0 AVAL'!B47 = "", "", '0 AVAL'!B47)</f>
        <v/>
      </c>
      <c r="C39" s="163" t="str">
        <f>IF('0 AVAL'!C47 = "", "", '0 AVAL'!C47)</f>
        <v/>
      </c>
      <c r="D39" s="145"/>
      <c r="E39" s="374"/>
      <c r="F39" s="375"/>
      <c r="G39" s="375"/>
      <c r="H39" s="375"/>
      <c r="I39" s="375"/>
      <c r="J39" s="375"/>
      <c r="K39" s="375"/>
      <c r="L39" s="375"/>
      <c r="M39" s="375"/>
      <c r="N39" s="376"/>
    </row>
    <row r="40" spans="1:14" ht="47.25" customHeight="1">
      <c r="A40" s="6">
        <v>13</v>
      </c>
      <c r="B40" s="163" t="str">
        <f>IF('0 AVAL'!B48 = "", "", '0 AVAL'!B48)</f>
        <v/>
      </c>
      <c r="C40" s="163" t="str">
        <f>IF('0 AVAL'!C48 = "", "", '0 AVAL'!C48)</f>
        <v/>
      </c>
      <c r="D40" s="145"/>
      <c r="E40" s="374"/>
      <c r="F40" s="375"/>
      <c r="G40" s="375"/>
      <c r="H40" s="375"/>
      <c r="I40" s="375"/>
      <c r="J40" s="375"/>
      <c r="K40" s="375"/>
      <c r="L40" s="375"/>
      <c r="M40" s="375"/>
      <c r="N40" s="376"/>
    </row>
    <row r="41" spans="1:14" ht="47.25" customHeight="1">
      <c r="A41" s="6">
        <v>14</v>
      </c>
      <c r="B41" s="163" t="str">
        <f>IF('0 AVAL'!B49 = "", "", '0 AVAL'!B49)</f>
        <v/>
      </c>
      <c r="C41" s="163" t="str">
        <f>IF('0 AVAL'!C49 = "", "", '0 AVAL'!C49)</f>
        <v/>
      </c>
      <c r="D41" s="145"/>
      <c r="E41" s="374"/>
      <c r="F41" s="375"/>
      <c r="G41" s="375"/>
      <c r="H41" s="375"/>
      <c r="I41" s="375"/>
      <c r="J41" s="375"/>
      <c r="K41" s="375"/>
      <c r="L41" s="375"/>
      <c r="M41" s="375"/>
      <c r="N41" s="376"/>
    </row>
    <row r="42" spans="1:14" ht="47.25" customHeight="1">
      <c r="A42" s="6">
        <v>15</v>
      </c>
      <c r="B42" s="163" t="str">
        <f>IF('0 AVAL'!B50 = "", "", '0 AVAL'!B50)</f>
        <v/>
      </c>
      <c r="C42" s="163" t="str">
        <f>IF('0 AVAL'!C50 = "", "", '0 AVAL'!C50)</f>
        <v/>
      </c>
      <c r="D42" s="145"/>
      <c r="E42" s="374"/>
      <c r="F42" s="375"/>
      <c r="G42" s="375"/>
      <c r="H42" s="375"/>
      <c r="I42" s="375"/>
      <c r="J42" s="375"/>
      <c r="K42" s="375"/>
      <c r="L42" s="375"/>
      <c r="M42" s="375"/>
      <c r="N42" s="376"/>
    </row>
    <row r="43" spans="1:14" ht="47.25" customHeight="1">
      <c r="A43" s="6">
        <v>16</v>
      </c>
      <c r="B43" s="163" t="str">
        <f>IF('0 AVAL'!B51 = "", "", '0 AVAL'!B51)</f>
        <v/>
      </c>
      <c r="C43" s="163" t="str">
        <f>IF('0 AVAL'!C51 = "", "", '0 AVAL'!C51)</f>
        <v/>
      </c>
      <c r="D43" s="145"/>
      <c r="E43" s="374"/>
      <c r="F43" s="375"/>
      <c r="G43" s="375"/>
      <c r="H43" s="375"/>
      <c r="I43" s="375"/>
      <c r="J43" s="375"/>
      <c r="K43" s="375"/>
      <c r="L43" s="375"/>
      <c r="M43" s="375"/>
      <c r="N43" s="376"/>
    </row>
    <row r="44" spans="1:14" ht="47.25" customHeight="1">
      <c r="A44" s="6">
        <v>17</v>
      </c>
      <c r="B44" s="163" t="str">
        <f>IF('0 AVAL'!B52 = "", "", '0 AVAL'!B52)</f>
        <v/>
      </c>
      <c r="C44" s="163" t="str">
        <f>IF('0 AVAL'!C52 = "", "", '0 AVAL'!C52)</f>
        <v/>
      </c>
      <c r="D44" s="145"/>
      <c r="E44" s="374"/>
      <c r="F44" s="375"/>
      <c r="G44" s="375"/>
      <c r="H44" s="375"/>
      <c r="I44" s="375"/>
      <c r="J44" s="375"/>
      <c r="K44" s="375"/>
      <c r="L44" s="375"/>
      <c r="M44" s="375"/>
      <c r="N44" s="376"/>
    </row>
    <row r="45" spans="1:14" ht="47.25" customHeight="1">
      <c r="A45" s="6">
        <v>18</v>
      </c>
      <c r="B45" s="163" t="str">
        <f>IF('0 AVAL'!B53 = "", "", '0 AVAL'!B53)</f>
        <v/>
      </c>
      <c r="C45" s="163" t="str">
        <f>IF('0 AVAL'!C53 = "", "", '0 AVAL'!C53)</f>
        <v/>
      </c>
      <c r="D45" s="145"/>
      <c r="E45" s="374"/>
      <c r="F45" s="375"/>
      <c r="G45" s="375"/>
      <c r="H45" s="375"/>
      <c r="I45" s="375"/>
      <c r="J45" s="375"/>
      <c r="K45" s="375"/>
      <c r="L45" s="375"/>
      <c r="M45" s="375"/>
      <c r="N45" s="376"/>
    </row>
    <row r="46" spans="1:14" ht="47.25" customHeight="1">
      <c r="A46" s="6">
        <v>19</v>
      </c>
      <c r="B46" s="163" t="str">
        <f>IF('0 AVAL'!B54 = "", "", '0 AVAL'!B54)</f>
        <v/>
      </c>
      <c r="C46" s="163" t="str">
        <f>IF('0 AVAL'!C54 = "", "", '0 AVAL'!C54)</f>
        <v/>
      </c>
      <c r="D46" s="145"/>
      <c r="E46" s="374"/>
      <c r="F46" s="375"/>
      <c r="G46" s="375"/>
      <c r="H46" s="375"/>
      <c r="I46" s="375"/>
      <c r="J46" s="375"/>
      <c r="K46" s="375"/>
      <c r="L46" s="375"/>
      <c r="M46" s="375"/>
      <c r="N46" s="376"/>
    </row>
    <row r="47" spans="1:14" ht="47.25" customHeight="1">
      <c r="A47" s="6">
        <v>20</v>
      </c>
      <c r="B47" s="163" t="str">
        <f>IF('0 AVAL'!B55 = "", "", '0 AVAL'!B55)</f>
        <v/>
      </c>
      <c r="C47" s="163" t="str">
        <f>IF('0 AVAL'!C55 = "", "", '0 AVAL'!C55)</f>
        <v/>
      </c>
      <c r="D47" s="145"/>
      <c r="E47" s="374"/>
      <c r="F47" s="375"/>
      <c r="G47" s="375"/>
      <c r="H47" s="375"/>
      <c r="I47" s="375"/>
      <c r="J47" s="375"/>
      <c r="K47" s="375"/>
      <c r="L47" s="375"/>
      <c r="M47" s="375"/>
      <c r="N47" s="376"/>
    </row>
    <row r="48" spans="1:14" ht="47.25" customHeight="1">
      <c r="A48" s="6">
        <v>21</v>
      </c>
      <c r="B48" s="163" t="str">
        <f>IF('0 AVAL'!B56 = "", "", '0 AVAL'!B56)</f>
        <v/>
      </c>
      <c r="C48" s="163" t="str">
        <f>IF('0 AVAL'!C56 = "", "", '0 AVAL'!C56)</f>
        <v/>
      </c>
      <c r="D48" s="145"/>
      <c r="E48" s="374"/>
      <c r="F48" s="375"/>
      <c r="G48" s="375"/>
      <c r="H48" s="375"/>
      <c r="I48" s="375"/>
      <c r="J48" s="375"/>
      <c r="K48" s="375"/>
      <c r="L48" s="375"/>
      <c r="M48" s="375"/>
      <c r="N48" s="376"/>
    </row>
    <row r="49" spans="1:14" ht="47.25" customHeight="1">
      <c r="A49" s="6">
        <v>22</v>
      </c>
      <c r="B49" s="163" t="str">
        <f>IF('0 AVAL'!B57 = "", "", '0 AVAL'!B57)</f>
        <v/>
      </c>
      <c r="C49" s="163" t="str">
        <f>IF('0 AVAL'!C57 = "", "", '0 AVAL'!C57)</f>
        <v/>
      </c>
      <c r="D49" s="145"/>
      <c r="E49" s="374"/>
      <c r="F49" s="375"/>
      <c r="G49" s="375"/>
      <c r="H49" s="375"/>
      <c r="I49" s="375"/>
      <c r="J49" s="375"/>
      <c r="K49" s="375"/>
      <c r="L49" s="375"/>
      <c r="M49" s="375"/>
      <c r="N49" s="376"/>
    </row>
    <row r="50" spans="1:14" ht="47.25" customHeight="1">
      <c r="A50" s="6">
        <v>23</v>
      </c>
      <c r="B50" s="163" t="str">
        <f>IF('0 AVAL'!B58 = "", "", '0 AVAL'!B58)</f>
        <v/>
      </c>
      <c r="C50" s="163" t="str">
        <f>IF('0 AVAL'!C58 = "", "", '0 AVAL'!C58)</f>
        <v/>
      </c>
      <c r="D50" s="145"/>
      <c r="E50" s="374"/>
      <c r="F50" s="375"/>
      <c r="G50" s="375"/>
      <c r="H50" s="375"/>
      <c r="I50" s="375"/>
      <c r="J50" s="375"/>
      <c r="K50" s="375"/>
      <c r="L50" s="375"/>
      <c r="M50" s="375"/>
      <c r="N50" s="376"/>
    </row>
    <row r="51" spans="1:14" ht="47.25" customHeight="1">
      <c r="A51" s="6">
        <v>24</v>
      </c>
      <c r="B51" s="163" t="str">
        <f>IF('0 AVAL'!B59 = "", "", '0 AVAL'!B59)</f>
        <v/>
      </c>
      <c r="C51" s="163" t="str">
        <f>IF('0 AVAL'!C59 = "", "", '0 AVAL'!C59)</f>
        <v/>
      </c>
      <c r="D51" s="145"/>
      <c r="E51" s="374"/>
      <c r="F51" s="375"/>
      <c r="G51" s="375"/>
      <c r="H51" s="375"/>
      <c r="I51" s="375"/>
      <c r="J51" s="375"/>
      <c r="K51" s="375"/>
      <c r="L51" s="375"/>
      <c r="M51" s="375"/>
      <c r="N51" s="376"/>
    </row>
    <row r="52" spans="1:14" ht="47.25" customHeight="1">
      <c r="A52" s="6">
        <v>25</v>
      </c>
      <c r="B52" s="163" t="str">
        <f>IF('0 AVAL'!B60 = "", "", '0 AVAL'!B60)</f>
        <v/>
      </c>
      <c r="C52" s="163" t="str">
        <f>IF('0 AVAL'!C60 = "", "", '0 AVAL'!C60)</f>
        <v/>
      </c>
      <c r="D52" s="145"/>
      <c r="E52" s="374"/>
      <c r="F52" s="375"/>
      <c r="G52" s="375"/>
      <c r="H52" s="375"/>
      <c r="I52" s="375"/>
      <c r="J52" s="375"/>
      <c r="K52" s="375"/>
      <c r="L52" s="375"/>
      <c r="M52" s="375"/>
      <c r="N52" s="376"/>
    </row>
    <row r="53" spans="1:14" ht="47.25" customHeight="1">
      <c r="A53" s="6">
        <v>26</v>
      </c>
      <c r="B53" s="163" t="str">
        <f>IF('0 AVAL'!B61 = "", "", '0 AVAL'!B61)</f>
        <v/>
      </c>
      <c r="C53" s="163" t="str">
        <f>IF('0 AVAL'!C61 = "", "", '0 AVAL'!C61)</f>
        <v/>
      </c>
      <c r="D53" s="145"/>
      <c r="E53" s="374"/>
      <c r="F53" s="375"/>
      <c r="G53" s="375"/>
      <c r="H53" s="375"/>
      <c r="I53" s="375"/>
      <c r="J53" s="375"/>
      <c r="K53" s="375"/>
      <c r="L53" s="375"/>
      <c r="M53" s="375"/>
      <c r="N53" s="376"/>
    </row>
    <row r="54" spans="1:14" ht="47.25" customHeight="1">
      <c r="A54" s="6">
        <v>27</v>
      </c>
      <c r="B54" s="163" t="str">
        <f>IF('0 AVAL'!B62 = "", "", '0 AVAL'!B62)</f>
        <v/>
      </c>
      <c r="C54" s="163" t="str">
        <f>IF('0 AVAL'!C62 = "", "", '0 AVAL'!C62)</f>
        <v/>
      </c>
      <c r="D54" s="145"/>
      <c r="E54" s="374"/>
      <c r="F54" s="375"/>
      <c r="G54" s="375"/>
      <c r="H54" s="375"/>
      <c r="I54" s="375"/>
      <c r="J54" s="375"/>
      <c r="K54" s="375"/>
      <c r="L54" s="375"/>
      <c r="M54" s="375"/>
      <c r="N54" s="376"/>
    </row>
    <row r="55" spans="1:14" ht="47.25" customHeight="1">
      <c r="A55" s="6">
        <v>28</v>
      </c>
      <c r="B55" s="163" t="str">
        <f>IF('0 AVAL'!B63 = "", "", '0 AVAL'!B63)</f>
        <v/>
      </c>
      <c r="C55" s="163" t="str">
        <f>IF('0 AVAL'!C63 = "", "", '0 AVAL'!C63)</f>
        <v/>
      </c>
      <c r="D55" s="145"/>
      <c r="E55" s="374"/>
      <c r="F55" s="375"/>
      <c r="G55" s="375"/>
      <c r="H55" s="375"/>
      <c r="I55" s="375"/>
      <c r="J55" s="375"/>
      <c r="K55" s="375"/>
      <c r="L55" s="375"/>
      <c r="M55" s="375"/>
      <c r="N55" s="376"/>
    </row>
    <row r="56" spans="1:14" ht="47.25" customHeight="1">
      <c r="A56" s="6">
        <v>29</v>
      </c>
      <c r="B56" s="163" t="str">
        <f>IF('0 AVAL'!B64 = "", "", '0 AVAL'!B64)</f>
        <v/>
      </c>
      <c r="C56" s="163" t="str">
        <f>IF('0 AVAL'!C64 = "", "", '0 AVAL'!C64)</f>
        <v/>
      </c>
      <c r="D56" s="145"/>
      <c r="E56" s="374"/>
      <c r="F56" s="375"/>
      <c r="G56" s="375"/>
      <c r="H56" s="375"/>
      <c r="I56" s="375"/>
      <c r="J56" s="375"/>
      <c r="K56" s="375"/>
      <c r="L56" s="375"/>
      <c r="M56" s="375"/>
      <c r="N56" s="376"/>
    </row>
    <row r="57" spans="1:14" ht="47.25" customHeight="1">
      <c r="A57" s="6">
        <v>30</v>
      </c>
      <c r="B57" s="163" t="str">
        <f>IF('0 AVAL'!B65 = "", "", '0 AVAL'!B65)</f>
        <v/>
      </c>
      <c r="C57" s="163" t="str">
        <f>IF('0 AVAL'!C65 = "", "", '0 AVAL'!C65)</f>
        <v/>
      </c>
      <c r="D57" s="145"/>
      <c r="E57" s="374"/>
      <c r="F57" s="375"/>
      <c r="G57" s="375"/>
      <c r="H57" s="375"/>
      <c r="I57" s="375"/>
      <c r="J57" s="375"/>
      <c r="K57" s="375"/>
      <c r="L57" s="375"/>
      <c r="M57" s="375"/>
      <c r="N57" s="376"/>
    </row>
    <row r="58" spans="1:14" ht="47.25" customHeight="1">
      <c r="A58" s="6">
        <v>31</v>
      </c>
      <c r="B58" s="163" t="str">
        <f>IF('0 AVAL'!B66 = "", "", '0 AVAL'!B66)</f>
        <v/>
      </c>
      <c r="C58" s="163" t="str">
        <f>IF('0 AVAL'!C66 = "", "", '0 AVAL'!C66)</f>
        <v/>
      </c>
      <c r="D58" s="145"/>
      <c r="E58" s="181"/>
      <c r="F58" s="182"/>
      <c r="G58" s="182"/>
      <c r="H58" s="182"/>
      <c r="I58" s="182"/>
      <c r="J58" s="182"/>
      <c r="K58" s="182"/>
      <c r="L58" s="182"/>
      <c r="M58" s="182"/>
      <c r="N58" s="183"/>
    </row>
    <row r="59" spans="1:14" ht="47.25" customHeight="1">
      <c r="A59" s="6">
        <v>32</v>
      </c>
      <c r="B59" s="163" t="str">
        <f>IF('0 AVAL'!B67 = "", "", '0 AVAL'!B67)</f>
        <v/>
      </c>
      <c r="C59" s="163" t="str">
        <f>IF('0 AVAL'!C67 = "", "", '0 AVAL'!C67)</f>
        <v/>
      </c>
      <c r="D59" s="145"/>
      <c r="E59" s="181"/>
      <c r="F59" s="182"/>
      <c r="G59" s="182"/>
      <c r="H59" s="182"/>
      <c r="I59" s="182"/>
      <c r="J59" s="182"/>
      <c r="K59" s="182"/>
      <c r="L59" s="182"/>
      <c r="M59" s="182"/>
      <c r="N59" s="183"/>
    </row>
    <row r="60" spans="1:14" ht="47.25" customHeight="1">
      <c r="A60" s="6">
        <v>33</v>
      </c>
      <c r="B60" s="163" t="str">
        <f>IF('0 AVAL'!B68 = "", "", '0 AVAL'!B68)</f>
        <v/>
      </c>
      <c r="C60" s="163" t="str">
        <f>IF('0 AVAL'!C68 = "", "", '0 AVAL'!C68)</f>
        <v/>
      </c>
      <c r="D60" s="145"/>
      <c r="E60" s="181"/>
      <c r="F60" s="182"/>
      <c r="G60" s="182"/>
      <c r="H60" s="182"/>
      <c r="I60" s="182"/>
      <c r="J60" s="182"/>
      <c r="K60" s="182"/>
      <c r="L60" s="182"/>
      <c r="M60" s="182"/>
      <c r="N60" s="183"/>
    </row>
    <row r="61" spans="1:14" ht="47.25" customHeight="1">
      <c r="A61" s="6">
        <v>34</v>
      </c>
      <c r="B61" s="163" t="str">
        <f>IF('0 AVAL'!B69 = "", "", '0 AVAL'!B69)</f>
        <v/>
      </c>
      <c r="C61" s="163" t="str">
        <f>IF('0 AVAL'!C69 = "", "", '0 AVAL'!C69)</f>
        <v/>
      </c>
      <c r="D61" s="145"/>
      <c r="E61" s="181"/>
      <c r="F61" s="182"/>
      <c r="G61" s="182"/>
      <c r="H61" s="182"/>
      <c r="I61" s="182"/>
      <c r="J61" s="182"/>
      <c r="K61" s="182"/>
      <c r="L61" s="182"/>
      <c r="M61" s="182"/>
      <c r="N61" s="183"/>
    </row>
    <row r="62" spans="1:14" ht="47.25" customHeight="1">
      <c r="A62" s="6">
        <v>35</v>
      </c>
      <c r="B62" s="163" t="str">
        <f>IF('0 AVAL'!B70 = "", "", '0 AVAL'!B70)</f>
        <v/>
      </c>
      <c r="C62" s="163" t="str">
        <f>IF('0 AVAL'!C70 = "", "", '0 AVAL'!C70)</f>
        <v/>
      </c>
      <c r="D62" s="145"/>
      <c r="E62" s="181"/>
      <c r="F62" s="182"/>
      <c r="G62" s="182"/>
      <c r="H62" s="182"/>
      <c r="I62" s="182"/>
      <c r="J62" s="182"/>
      <c r="K62" s="182"/>
      <c r="L62" s="182"/>
      <c r="M62" s="182"/>
      <c r="N62" s="183"/>
    </row>
    <row r="63" spans="1:14" ht="47.25" customHeight="1">
      <c r="A63" s="6">
        <v>36</v>
      </c>
      <c r="B63" s="163" t="str">
        <f>IF('0 AVAL'!B71 = "", "", '0 AVAL'!B71)</f>
        <v/>
      </c>
      <c r="C63" s="163" t="str">
        <f>IF('0 AVAL'!C71 = "", "", '0 AVAL'!C71)</f>
        <v/>
      </c>
      <c r="D63" s="145"/>
      <c r="E63" s="374"/>
      <c r="F63" s="375"/>
      <c r="G63" s="375"/>
      <c r="H63" s="375"/>
      <c r="I63" s="375"/>
      <c r="J63" s="375"/>
      <c r="K63" s="375"/>
      <c r="L63" s="375"/>
      <c r="M63" s="375"/>
      <c r="N63" s="376"/>
    </row>
    <row r="64" spans="1:14" ht="47.25" customHeight="1">
      <c r="A64" s="6">
        <v>37</v>
      </c>
      <c r="B64" s="163" t="str">
        <f>IF('0 AVAL'!B72 = "", "", '0 AVAL'!B72)</f>
        <v/>
      </c>
      <c r="C64" s="163" t="str">
        <f>IF('0 AVAL'!C72 = "", "", '0 AVAL'!C72)</f>
        <v/>
      </c>
      <c r="D64" s="145"/>
      <c r="E64" s="374"/>
      <c r="F64" s="375"/>
      <c r="G64" s="375"/>
      <c r="H64" s="375"/>
      <c r="I64" s="375"/>
      <c r="J64" s="375"/>
      <c r="K64" s="375"/>
      <c r="L64" s="375"/>
      <c r="M64" s="375"/>
      <c r="N64" s="376"/>
    </row>
    <row r="65" spans="1:14" ht="47.25" customHeight="1">
      <c r="A65" s="6">
        <v>38</v>
      </c>
      <c r="B65" s="163" t="str">
        <f>IF('0 AVAL'!B73 = "", "", '0 AVAL'!B73)</f>
        <v/>
      </c>
      <c r="C65" s="163" t="str">
        <f>IF('0 AVAL'!C73 = "", "", '0 AVAL'!C73)</f>
        <v/>
      </c>
      <c r="D65" s="145"/>
      <c r="E65" s="374"/>
      <c r="F65" s="375"/>
      <c r="G65" s="375"/>
      <c r="H65" s="375"/>
      <c r="I65" s="375"/>
      <c r="J65" s="375"/>
      <c r="K65" s="375"/>
      <c r="L65" s="375"/>
      <c r="M65" s="375"/>
      <c r="N65" s="376"/>
    </row>
    <row r="66" spans="1:14" ht="47.25" customHeight="1">
      <c r="A66" s="6">
        <v>39</v>
      </c>
      <c r="B66" s="163" t="str">
        <f>IF('0 AVAL'!B74 = "", "", '0 AVAL'!B74)</f>
        <v/>
      </c>
      <c r="C66" s="163" t="str">
        <f>IF('0 AVAL'!C74 = "", "", '0 AVAL'!C74)</f>
        <v/>
      </c>
      <c r="D66" s="145"/>
      <c r="E66" s="374"/>
      <c r="F66" s="375"/>
      <c r="G66" s="375"/>
      <c r="H66" s="375"/>
      <c r="I66" s="375"/>
      <c r="J66" s="375"/>
      <c r="K66" s="375"/>
      <c r="L66" s="375"/>
      <c r="M66" s="375"/>
      <c r="N66" s="376"/>
    </row>
    <row r="67" spans="1:14" ht="54.75" customHeight="1">
      <c r="A67" s="6">
        <v>40</v>
      </c>
      <c r="B67" s="163" t="str">
        <f>IF('0 AVAL'!B75 = "", "", '0 AVAL'!B75)</f>
        <v/>
      </c>
      <c r="C67" s="163" t="str">
        <f>IF('0 AVAL'!C75 = "", "", '0 AVAL'!C75)</f>
        <v/>
      </c>
      <c r="D67" s="145"/>
      <c r="E67" s="374"/>
      <c r="F67" s="375"/>
      <c r="G67" s="375"/>
      <c r="H67" s="375"/>
      <c r="I67" s="375"/>
      <c r="J67" s="375"/>
      <c r="K67" s="375"/>
      <c r="L67" s="375"/>
      <c r="M67" s="375"/>
      <c r="N67" s="376"/>
    </row>
    <row r="68" spans="1:14" ht="19.5" customHeight="1" thickBot="1"/>
    <row r="69" spans="1:14" s="37" customFormat="1" ht="54.75" customHeight="1" thickBot="1">
      <c r="B69" s="380" t="s">
        <v>152</v>
      </c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2"/>
    </row>
    <row r="70" spans="1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29" customFormat="1" ht="34.5" customHeight="1">
      <c r="A71" s="129">
        <v>1</v>
      </c>
      <c r="B71" s="281"/>
      <c r="C71" s="281"/>
      <c r="D71" s="281"/>
      <c r="E71" s="281"/>
      <c r="F71" s="281"/>
      <c r="G71" s="281"/>
      <c r="H71" s="281"/>
      <c r="I71" s="281"/>
      <c r="J71" s="287" t="s">
        <v>70</v>
      </c>
      <c r="K71" s="288"/>
      <c r="L71" s="288"/>
      <c r="M71" s="288"/>
      <c r="N71" s="289"/>
    </row>
    <row r="72" spans="1:14" s="29" customFormat="1" ht="34.5" customHeight="1">
      <c r="A72" s="129">
        <v>2</v>
      </c>
      <c r="B72" s="325"/>
      <c r="C72" s="325"/>
      <c r="D72" s="325"/>
      <c r="E72" s="325"/>
      <c r="F72" s="325"/>
      <c r="G72" s="325"/>
      <c r="H72" s="325"/>
      <c r="I72" s="325"/>
      <c r="J72" s="290"/>
      <c r="K72" s="291"/>
      <c r="L72" s="291"/>
      <c r="M72" s="291"/>
      <c r="N72" s="292"/>
    </row>
    <row r="73" spans="1:14" s="29" customFormat="1" ht="34.5" customHeight="1">
      <c r="A73" s="129">
        <v>3</v>
      </c>
      <c r="B73" s="325"/>
      <c r="C73" s="325"/>
      <c r="D73" s="325"/>
      <c r="E73" s="325"/>
      <c r="F73" s="325"/>
      <c r="G73" s="325"/>
      <c r="H73" s="325"/>
      <c r="I73" s="325"/>
      <c r="J73" s="290"/>
      <c r="K73" s="291"/>
      <c r="L73" s="291"/>
      <c r="M73" s="291"/>
      <c r="N73" s="292"/>
    </row>
    <row r="74" spans="1:14" s="29" customFormat="1" ht="34.5" customHeight="1">
      <c r="A74" s="129">
        <v>4</v>
      </c>
      <c r="B74" s="325"/>
      <c r="C74" s="325"/>
      <c r="D74" s="325"/>
      <c r="E74" s="325"/>
      <c r="F74" s="325"/>
      <c r="G74" s="325"/>
      <c r="H74" s="325"/>
      <c r="I74" s="325"/>
      <c r="J74" s="290"/>
      <c r="K74" s="291"/>
      <c r="L74" s="291"/>
      <c r="M74" s="291"/>
      <c r="N74" s="292"/>
    </row>
    <row r="75" spans="1:14" s="29" customFormat="1" ht="34.5" customHeight="1">
      <c r="A75" s="129">
        <v>5</v>
      </c>
      <c r="B75" s="325"/>
      <c r="C75" s="325"/>
      <c r="D75" s="325"/>
      <c r="E75" s="325"/>
      <c r="F75" s="325"/>
      <c r="G75" s="325"/>
      <c r="H75" s="325"/>
      <c r="I75" s="325"/>
      <c r="J75" s="290"/>
      <c r="K75" s="291"/>
      <c r="L75" s="291"/>
      <c r="M75" s="291"/>
      <c r="N75" s="292"/>
    </row>
    <row r="76" spans="1:14" s="29" customFormat="1" ht="34.5" customHeight="1">
      <c r="A76" s="129">
        <v>6</v>
      </c>
      <c r="B76" s="325"/>
      <c r="C76" s="325"/>
      <c r="D76" s="325"/>
      <c r="E76" s="325"/>
      <c r="F76" s="325"/>
      <c r="G76" s="325"/>
      <c r="H76" s="325"/>
      <c r="I76" s="325"/>
      <c r="J76" s="290"/>
      <c r="K76" s="291"/>
      <c r="L76" s="291"/>
      <c r="M76" s="291"/>
      <c r="N76" s="292"/>
    </row>
    <row r="77" spans="1:14" s="29" customFormat="1" ht="34.5" customHeight="1" thickBot="1">
      <c r="A77" s="129">
        <v>7</v>
      </c>
      <c r="B77" s="319"/>
      <c r="C77" s="319"/>
      <c r="D77" s="319"/>
      <c r="E77" s="319"/>
      <c r="F77" s="319"/>
      <c r="G77" s="319"/>
      <c r="H77" s="319"/>
      <c r="I77" s="319"/>
      <c r="J77" s="293"/>
      <c r="K77" s="294"/>
      <c r="L77" s="294"/>
      <c r="M77" s="294"/>
      <c r="N77" s="295"/>
    </row>
    <row r="78" spans="1:14">
      <c r="B78" s="282" t="s">
        <v>71</v>
      </c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</row>
    <row r="79" spans="1:14" ht="15.6" customHeight="1"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</row>
  </sheetData>
  <mergeCells count="66">
    <mergeCell ref="B78:N79"/>
    <mergeCell ref="B71:I71"/>
    <mergeCell ref="J71:N77"/>
    <mergeCell ref="B72:I72"/>
    <mergeCell ref="B73:I73"/>
    <mergeCell ref="B74:I74"/>
    <mergeCell ref="B75:I75"/>
    <mergeCell ref="B76:I76"/>
    <mergeCell ref="B77:I77"/>
    <mergeCell ref="B69:N69"/>
    <mergeCell ref="E52:N52"/>
    <mergeCell ref="E53:N53"/>
    <mergeCell ref="E54:N54"/>
    <mergeCell ref="E55:N55"/>
    <mergeCell ref="E56:N56"/>
    <mergeCell ref="E57:N57"/>
    <mergeCell ref="E63:N63"/>
    <mergeCell ref="E64:N64"/>
    <mergeCell ref="E65:N65"/>
    <mergeCell ref="E66:N66"/>
    <mergeCell ref="E67:N67"/>
    <mergeCell ref="E51:N51"/>
    <mergeCell ref="E40:N40"/>
    <mergeCell ref="E41:N41"/>
    <mergeCell ref="E42:N42"/>
    <mergeCell ref="E43:N43"/>
    <mergeCell ref="E44:N44"/>
    <mergeCell ref="E45:N45"/>
    <mergeCell ref="E46:N46"/>
    <mergeCell ref="E47:N47"/>
    <mergeCell ref="E48:N48"/>
    <mergeCell ref="E49:N49"/>
    <mergeCell ref="E50:N50"/>
    <mergeCell ref="E39:N39"/>
    <mergeCell ref="E28:N28"/>
    <mergeCell ref="E29:N29"/>
    <mergeCell ref="E30:N30"/>
    <mergeCell ref="E31:N31"/>
    <mergeCell ref="E32:N32"/>
    <mergeCell ref="E33:N33"/>
    <mergeCell ref="E34:N34"/>
    <mergeCell ref="E35:N35"/>
    <mergeCell ref="E36:N36"/>
    <mergeCell ref="E37:N37"/>
    <mergeCell ref="E38:N38"/>
    <mergeCell ref="E27:N27"/>
    <mergeCell ref="J7:M7"/>
    <mergeCell ref="B9:N9"/>
    <mergeCell ref="B11:M11"/>
    <mergeCell ref="N11:Y11"/>
    <mergeCell ref="B12:N12"/>
    <mergeCell ref="B14:M14"/>
    <mergeCell ref="N14:Y14"/>
    <mergeCell ref="B15:N15"/>
    <mergeCell ref="B18:N18"/>
    <mergeCell ref="B20:N20"/>
    <mergeCell ref="B22:N23"/>
    <mergeCell ref="B25:N25"/>
    <mergeCell ref="B2:C6"/>
    <mergeCell ref="D2:F6"/>
    <mergeCell ref="G2:G6"/>
    <mergeCell ref="J2:N2"/>
    <mergeCell ref="J3:M3"/>
    <mergeCell ref="J4:M4"/>
    <mergeCell ref="J5:M5"/>
    <mergeCell ref="J6:M6"/>
  </mergeCells>
  <dataValidations count="1">
    <dataValidation type="date" allowBlank="1" showInputMessage="1" showErrorMessage="1" sqref="J7:M7" xr:uid="{9D08EF55-8B7E-4896-9AF9-2DCF5F6B5B76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29C-B4FA-48E2-A527-5DBFE47927B1}">
  <sheetPr>
    <tabColor theme="7" tint="0.59999389629810485"/>
  </sheetPr>
  <dimension ref="A1:FY79"/>
  <sheetViews>
    <sheetView topLeftCell="A24" workbookViewId="0">
      <selection activeCell="B28" sqref="B28:C67"/>
    </sheetView>
  </sheetViews>
  <sheetFormatPr baseColWidth="10" defaultColWidth="0" defaultRowHeight="15.75" zeroHeight="1"/>
  <cols>
    <col min="1" max="1" width="3.265625" style="1" customWidth="1"/>
    <col min="2" max="2" width="21.73046875" style="1" customWidth="1"/>
    <col min="3" max="3" width="25.265625" style="1" customWidth="1"/>
    <col min="4" max="8" width="12.59765625" style="1" customWidth="1"/>
    <col min="9" max="9" width="16.59765625" style="1" customWidth="1"/>
    <col min="10" max="13" width="12.59765625" style="1" customWidth="1"/>
    <col min="14" max="14" width="2.73046875" style="1" customWidth="1"/>
    <col min="15" max="22" width="0" style="1" hidden="1"/>
    <col min="23" max="181" width="4.3984375" style="1" hidden="1"/>
    <col min="182" max="16383" width="0" style="1" hidden="1"/>
    <col min="16384" max="16384" width="5" style="1" customWidth="1"/>
  </cols>
  <sheetData>
    <row r="1" spans="2:25" ht="29.25" customHeight="1">
      <c r="B1" s="29"/>
      <c r="C1" s="29"/>
      <c r="D1" s="29"/>
      <c r="E1" s="29"/>
      <c r="F1" s="29"/>
      <c r="G1" s="29"/>
      <c r="H1" s="29"/>
      <c r="I1" s="177" t="s">
        <v>141</v>
      </c>
      <c r="J1" s="30"/>
      <c r="K1" s="30"/>
      <c r="L1" s="31" t="s">
        <v>142</v>
      </c>
      <c r="M1" s="30"/>
    </row>
    <row r="2" spans="2:25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2:25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2:25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2:25" ht="15.75" hidden="1" customHeight="1">
      <c r="B5" s="197"/>
      <c r="C5" s="197"/>
      <c r="D5" s="197"/>
      <c r="E5" s="197"/>
      <c r="F5" s="197"/>
      <c r="G5" s="197"/>
      <c r="H5" s="32"/>
      <c r="J5" s="198"/>
      <c r="K5" s="198"/>
      <c r="L5" s="198"/>
      <c r="M5" s="198"/>
    </row>
    <row r="6" spans="2:25" ht="15.75" customHeight="1" thickBot="1">
      <c r="B6" s="197"/>
      <c r="C6" s="197"/>
      <c r="D6" s="197"/>
      <c r="E6" s="197"/>
      <c r="F6" s="197"/>
      <c r="G6" s="197"/>
      <c r="H6" s="32"/>
      <c r="I6" s="71" t="s">
        <v>3</v>
      </c>
      <c r="J6" s="198" t="str">
        <f>INDEX!G5</f>
        <v>2025-2026</v>
      </c>
      <c r="K6" s="198"/>
      <c r="L6" s="198"/>
      <c r="M6" s="198"/>
    </row>
    <row r="7" spans="2:25">
      <c r="B7" s="29"/>
      <c r="C7" s="29"/>
      <c r="D7" s="32"/>
      <c r="E7" s="32"/>
      <c r="F7" s="32"/>
      <c r="G7" s="32"/>
      <c r="H7" s="32"/>
      <c r="I7" s="73" t="s">
        <v>97</v>
      </c>
      <c r="J7" s="249"/>
      <c r="K7" s="298"/>
      <c r="L7" s="298"/>
      <c r="M7" s="298"/>
    </row>
    <row r="8" spans="2:25"/>
    <row r="9" spans="2:25" s="37" customFormat="1" ht="21">
      <c r="B9" s="196" t="s">
        <v>143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2:25"/>
    <row r="11" spans="2:25" ht="15.6" customHeight="1">
      <c r="B11" s="250" t="s">
        <v>144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</row>
    <row r="12" spans="2:25" ht="56.25" customHeight="1"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7"/>
    </row>
    <row r="13" spans="2:25"/>
    <row r="14" spans="2:25">
      <c r="B14" s="250" t="s">
        <v>145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</row>
    <row r="15" spans="2:25" ht="56.25" customHeight="1">
      <c r="B15" s="365"/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7"/>
    </row>
    <row r="16" spans="2:25" ht="0" hidden="1" customHeight="1"/>
    <row r="17" spans="1:14">
      <c r="B17" s="178" t="s">
        <v>146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</row>
    <row r="18" spans="1:14" ht="56.25" customHeight="1">
      <c r="B18" s="365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7"/>
    </row>
    <row r="19" spans="1:14"/>
    <row r="20" spans="1:14" s="37" customFormat="1" ht="21">
      <c r="B20" s="196" t="s">
        <v>147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/>
    <row r="22" spans="1:14" ht="15.6" customHeight="1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70"/>
    </row>
    <row r="23" spans="1:14" ht="253.5" customHeight="1">
      <c r="B23" s="371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3"/>
    </row>
    <row r="24" spans="1:14"/>
    <row r="25" spans="1:14" s="37" customFormat="1" ht="21">
      <c r="B25" s="196" t="s">
        <v>148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</row>
    <row r="26" spans="1:14"/>
    <row r="27" spans="1:14" s="6" customFormat="1" ht="45.75" customHeight="1">
      <c r="B27" s="179" t="s">
        <v>55</v>
      </c>
      <c r="C27" s="180" t="s">
        <v>56</v>
      </c>
      <c r="D27" s="180" t="s">
        <v>153</v>
      </c>
      <c r="E27" s="251" t="s">
        <v>150</v>
      </c>
      <c r="F27" s="251"/>
      <c r="G27" s="251"/>
      <c r="H27" s="251"/>
      <c r="I27" s="251"/>
      <c r="J27" s="251"/>
      <c r="K27" s="251"/>
      <c r="L27" s="251"/>
      <c r="M27" s="251"/>
      <c r="N27" s="252"/>
    </row>
    <row r="28" spans="1:14" ht="47.25" customHeight="1">
      <c r="A28" s="6">
        <v>1</v>
      </c>
      <c r="B28" s="163" t="str">
        <f>IF('0 AVAL'!B36 = "", "", '0 AVAL'!B36)</f>
        <v/>
      </c>
      <c r="C28" s="163" t="str">
        <f>IF('0 AVAL'!C36 = "", "", '0 AVAL'!C36)</f>
        <v/>
      </c>
      <c r="D28" s="164"/>
      <c r="E28" s="377" t="s">
        <v>151</v>
      </c>
      <c r="F28" s="378"/>
      <c r="G28" s="378"/>
      <c r="H28" s="378"/>
      <c r="I28" s="378"/>
      <c r="J28" s="378"/>
      <c r="K28" s="378"/>
      <c r="L28" s="378"/>
      <c r="M28" s="378"/>
      <c r="N28" s="379"/>
    </row>
    <row r="29" spans="1:14" ht="47.25" customHeight="1">
      <c r="A29" s="6">
        <v>2</v>
      </c>
      <c r="B29" s="163" t="str">
        <f>IF('0 AVAL'!B37 = "", "", '0 AVAL'!B37)</f>
        <v/>
      </c>
      <c r="C29" s="163" t="str">
        <f>IF('0 AVAL'!C37 = "", "", '0 AVAL'!C37)</f>
        <v/>
      </c>
      <c r="D29" s="145"/>
      <c r="E29" s="374"/>
      <c r="F29" s="375"/>
      <c r="G29" s="375"/>
      <c r="H29" s="375"/>
      <c r="I29" s="375"/>
      <c r="J29" s="375"/>
      <c r="K29" s="375"/>
      <c r="L29" s="375"/>
      <c r="M29" s="375"/>
      <c r="N29" s="376"/>
    </row>
    <row r="30" spans="1:14" ht="47.25" customHeight="1">
      <c r="A30" s="6">
        <v>3</v>
      </c>
      <c r="B30" s="163" t="str">
        <f>IF('0 AVAL'!B38 = "", "", '0 AVAL'!B38)</f>
        <v/>
      </c>
      <c r="C30" s="163" t="str">
        <f>IF('0 AVAL'!C38 = "", "", '0 AVAL'!C38)</f>
        <v/>
      </c>
      <c r="D30" s="145"/>
      <c r="E30" s="374"/>
      <c r="F30" s="375"/>
      <c r="G30" s="375"/>
      <c r="H30" s="375"/>
      <c r="I30" s="375"/>
      <c r="J30" s="375"/>
      <c r="K30" s="375"/>
      <c r="L30" s="375"/>
      <c r="M30" s="375"/>
      <c r="N30" s="376"/>
    </row>
    <row r="31" spans="1:14" ht="47.25" customHeight="1">
      <c r="A31" s="6">
        <v>4</v>
      </c>
      <c r="B31" s="163" t="str">
        <f>IF('0 AVAL'!B39 = "", "", '0 AVAL'!B39)</f>
        <v/>
      </c>
      <c r="C31" s="163" t="str">
        <f>IF('0 AVAL'!C39 = "", "", '0 AVAL'!C39)</f>
        <v/>
      </c>
      <c r="D31" s="145"/>
      <c r="E31" s="374"/>
      <c r="F31" s="375"/>
      <c r="G31" s="375"/>
      <c r="H31" s="375"/>
      <c r="I31" s="375"/>
      <c r="J31" s="375"/>
      <c r="K31" s="375"/>
      <c r="L31" s="375"/>
      <c r="M31" s="375"/>
      <c r="N31" s="376"/>
    </row>
    <row r="32" spans="1:14" ht="47.25" customHeight="1">
      <c r="A32" s="6">
        <v>5</v>
      </c>
      <c r="B32" s="163" t="str">
        <f>IF('0 AVAL'!B40 = "", "", '0 AVAL'!B40)</f>
        <v/>
      </c>
      <c r="C32" s="163" t="str">
        <f>IF('0 AVAL'!C40 = "", "", '0 AVAL'!C40)</f>
        <v/>
      </c>
      <c r="D32" s="145"/>
      <c r="E32" s="374"/>
      <c r="F32" s="375"/>
      <c r="G32" s="375"/>
      <c r="H32" s="375"/>
      <c r="I32" s="375"/>
      <c r="J32" s="375"/>
      <c r="K32" s="375"/>
      <c r="L32" s="375"/>
      <c r="M32" s="375"/>
      <c r="N32" s="376"/>
    </row>
    <row r="33" spans="1:14" ht="47.25" customHeight="1">
      <c r="A33" s="6">
        <v>6</v>
      </c>
      <c r="B33" s="163" t="str">
        <f>IF('0 AVAL'!B41 = "", "", '0 AVAL'!B41)</f>
        <v/>
      </c>
      <c r="C33" s="163" t="str">
        <f>IF('0 AVAL'!C41 = "", "", '0 AVAL'!C41)</f>
        <v/>
      </c>
      <c r="D33" s="145"/>
      <c r="E33" s="374"/>
      <c r="F33" s="375"/>
      <c r="G33" s="375"/>
      <c r="H33" s="375"/>
      <c r="I33" s="375"/>
      <c r="J33" s="375"/>
      <c r="K33" s="375"/>
      <c r="L33" s="375"/>
      <c r="M33" s="375"/>
      <c r="N33" s="376"/>
    </row>
    <row r="34" spans="1:14" ht="47.25" customHeight="1">
      <c r="A34" s="6">
        <v>7</v>
      </c>
      <c r="B34" s="163" t="str">
        <f>IF('0 AVAL'!B42 = "", "", '0 AVAL'!B42)</f>
        <v/>
      </c>
      <c r="C34" s="163" t="str">
        <f>IF('0 AVAL'!C42 = "", "", '0 AVAL'!C42)</f>
        <v/>
      </c>
      <c r="D34" s="145"/>
      <c r="E34" s="374"/>
      <c r="F34" s="375"/>
      <c r="G34" s="375"/>
      <c r="H34" s="375"/>
      <c r="I34" s="375"/>
      <c r="J34" s="375"/>
      <c r="K34" s="375"/>
      <c r="L34" s="375"/>
      <c r="M34" s="375"/>
      <c r="N34" s="376"/>
    </row>
    <row r="35" spans="1:14" ht="47.25" customHeight="1">
      <c r="A35" s="6">
        <v>8</v>
      </c>
      <c r="B35" s="163" t="str">
        <f>IF('0 AVAL'!B43 = "", "", '0 AVAL'!B43)</f>
        <v/>
      </c>
      <c r="C35" s="163" t="str">
        <f>IF('0 AVAL'!C43 = "", "", '0 AVAL'!C43)</f>
        <v/>
      </c>
      <c r="D35" s="145"/>
      <c r="E35" s="374"/>
      <c r="F35" s="375"/>
      <c r="G35" s="375"/>
      <c r="H35" s="375"/>
      <c r="I35" s="375"/>
      <c r="J35" s="375"/>
      <c r="K35" s="375"/>
      <c r="L35" s="375"/>
      <c r="M35" s="375"/>
      <c r="N35" s="376"/>
    </row>
    <row r="36" spans="1:14" ht="47.25" customHeight="1">
      <c r="A36" s="6">
        <v>9</v>
      </c>
      <c r="B36" s="163" t="str">
        <f>IF('0 AVAL'!B44 = "", "", '0 AVAL'!B44)</f>
        <v/>
      </c>
      <c r="C36" s="163" t="str">
        <f>IF('0 AVAL'!C44 = "", "", '0 AVAL'!C44)</f>
        <v/>
      </c>
      <c r="D36" s="145"/>
      <c r="E36" s="374"/>
      <c r="F36" s="375"/>
      <c r="G36" s="375"/>
      <c r="H36" s="375"/>
      <c r="I36" s="375"/>
      <c r="J36" s="375"/>
      <c r="K36" s="375"/>
      <c r="L36" s="375"/>
      <c r="M36" s="375"/>
      <c r="N36" s="376"/>
    </row>
    <row r="37" spans="1:14" ht="47.25" customHeight="1">
      <c r="A37" s="6">
        <v>10</v>
      </c>
      <c r="B37" s="163" t="str">
        <f>IF('0 AVAL'!B45 = "", "", '0 AVAL'!B45)</f>
        <v/>
      </c>
      <c r="C37" s="163" t="str">
        <f>IF('0 AVAL'!C45 = "", "", '0 AVAL'!C45)</f>
        <v/>
      </c>
      <c r="D37" s="145"/>
      <c r="E37" s="374"/>
      <c r="F37" s="375"/>
      <c r="G37" s="375"/>
      <c r="H37" s="375"/>
      <c r="I37" s="375"/>
      <c r="J37" s="375"/>
      <c r="K37" s="375"/>
      <c r="L37" s="375"/>
      <c r="M37" s="375"/>
      <c r="N37" s="376"/>
    </row>
    <row r="38" spans="1:14" ht="47.25" customHeight="1">
      <c r="A38" s="6">
        <v>11</v>
      </c>
      <c r="B38" s="163" t="str">
        <f>IF('0 AVAL'!B46 = "", "", '0 AVAL'!B46)</f>
        <v/>
      </c>
      <c r="C38" s="163" t="str">
        <f>IF('0 AVAL'!C46 = "", "", '0 AVAL'!C46)</f>
        <v/>
      </c>
      <c r="D38" s="145"/>
      <c r="E38" s="374"/>
      <c r="F38" s="375"/>
      <c r="G38" s="375"/>
      <c r="H38" s="375"/>
      <c r="I38" s="375"/>
      <c r="J38" s="375"/>
      <c r="K38" s="375"/>
      <c r="L38" s="375"/>
      <c r="M38" s="375"/>
      <c r="N38" s="376"/>
    </row>
    <row r="39" spans="1:14" ht="47.25" customHeight="1">
      <c r="A39" s="6">
        <v>12</v>
      </c>
      <c r="B39" s="163" t="str">
        <f>IF('0 AVAL'!B47 = "", "", '0 AVAL'!B47)</f>
        <v/>
      </c>
      <c r="C39" s="163" t="str">
        <f>IF('0 AVAL'!C47 = "", "", '0 AVAL'!C47)</f>
        <v/>
      </c>
      <c r="D39" s="145"/>
      <c r="E39" s="374"/>
      <c r="F39" s="375"/>
      <c r="G39" s="375"/>
      <c r="H39" s="375"/>
      <c r="I39" s="375"/>
      <c r="J39" s="375"/>
      <c r="K39" s="375"/>
      <c r="L39" s="375"/>
      <c r="M39" s="375"/>
      <c r="N39" s="376"/>
    </row>
    <row r="40" spans="1:14" ht="47.25" customHeight="1">
      <c r="A40" s="6">
        <v>13</v>
      </c>
      <c r="B40" s="163" t="str">
        <f>IF('0 AVAL'!B48 = "", "", '0 AVAL'!B48)</f>
        <v/>
      </c>
      <c r="C40" s="163" t="str">
        <f>IF('0 AVAL'!C48 = "", "", '0 AVAL'!C48)</f>
        <v/>
      </c>
      <c r="D40" s="145"/>
      <c r="E40" s="374"/>
      <c r="F40" s="375"/>
      <c r="G40" s="375"/>
      <c r="H40" s="375"/>
      <c r="I40" s="375"/>
      <c r="J40" s="375"/>
      <c r="K40" s="375"/>
      <c r="L40" s="375"/>
      <c r="M40" s="375"/>
      <c r="N40" s="376"/>
    </row>
    <row r="41" spans="1:14" ht="47.25" customHeight="1">
      <c r="A41" s="6">
        <v>14</v>
      </c>
      <c r="B41" s="163" t="str">
        <f>IF('0 AVAL'!B49 = "", "", '0 AVAL'!B49)</f>
        <v/>
      </c>
      <c r="C41" s="163" t="str">
        <f>IF('0 AVAL'!C49 = "", "", '0 AVAL'!C49)</f>
        <v/>
      </c>
      <c r="D41" s="145"/>
      <c r="E41" s="374"/>
      <c r="F41" s="375"/>
      <c r="G41" s="375"/>
      <c r="H41" s="375"/>
      <c r="I41" s="375"/>
      <c r="J41" s="375"/>
      <c r="K41" s="375"/>
      <c r="L41" s="375"/>
      <c r="M41" s="375"/>
      <c r="N41" s="376"/>
    </row>
    <row r="42" spans="1:14" ht="47.25" customHeight="1">
      <c r="A42" s="6">
        <v>15</v>
      </c>
      <c r="B42" s="163" t="str">
        <f>IF('0 AVAL'!B50 = "", "", '0 AVAL'!B50)</f>
        <v/>
      </c>
      <c r="C42" s="163" t="str">
        <f>IF('0 AVAL'!C50 = "", "", '0 AVAL'!C50)</f>
        <v/>
      </c>
      <c r="D42" s="145"/>
      <c r="E42" s="374"/>
      <c r="F42" s="375"/>
      <c r="G42" s="375"/>
      <c r="H42" s="375"/>
      <c r="I42" s="375"/>
      <c r="J42" s="375"/>
      <c r="K42" s="375"/>
      <c r="L42" s="375"/>
      <c r="M42" s="375"/>
      <c r="N42" s="376"/>
    </row>
    <row r="43" spans="1:14" ht="47.25" customHeight="1">
      <c r="A43" s="6">
        <v>16</v>
      </c>
      <c r="B43" s="163" t="str">
        <f>IF('0 AVAL'!B51 = "", "", '0 AVAL'!B51)</f>
        <v/>
      </c>
      <c r="C43" s="163" t="str">
        <f>IF('0 AVAL'!C51 = "", "", '0 AVAL'!C51)</f>
        <v/>
      </c>
      <c r="D43" s="145"/>
      <c r="E43" s="374"/>
      <c r="F43" s="375"/>
      <c r="G43" s="375"/>
      <c r="H43" s="375"/>
      <c r="I43" s="375"/>
      <c r="J43" s="375"/>
      <c r="K43" s="375"/>
      <c r="L43" s="375"/>
      <c r="M43" s="375"/>
      <c r="N43" s="376"/>
    </row>
    <row r="44" spans="1:14" ht="47.25" customHeight="1">
      <c r="A44" s="6">
        <v>17</v>
      </c>
      <c r="B44" s="163" t="str">
        <f>IF('0 AVAL'!B52 = "", "", '0 AVAL'!B52)</f>
        <v/>
      </c>
      <c r="C44" s="163" t="str">
        <f>IF('0 AVAL'!C52 = "", "", '0 AVAL'!C52)</f>
        <v/>
      </c>
      <c r="D44" s="145"/>
      <c r="E44" s="374"/>
      <c r="F44" s="375"/>
      <c r="G44" s="375"/>
      <c r="H44" s="375"/>
      <c r="I44" s="375"/>
      <c r="J44" s="375"/>
      <c r="K44" s="375"/>
      <c r="L44" s="375"/>
      <c r="M44" s="375"/>
      <c r="N44" s="376"/>
    </row>
    <row r="45" spans="1:14" ht="47.25" customHeight="1">
      <c r="A45" s="6">
        <v>18</v>
      </c>
      <c r="B45" s="163" t="str">
        <f>IF('0 AVAL'!B53 = "", "", '0 AVAL'!B53)</f>
        <v/>
      </c>
      <c r="C45" s="163" t="str">
        <f>IF('0 AVAL'!C53 = "", "", '0 AVAL'!C53)</f>
        <v/>
      </c>
      <c r="D45" s="145"/>
      <c r="E45" s="374"/>
      <c r="F45" s="375"/>
      <c r="G45" s="375"/>
      <c r="H45" s="375"/>
      <c r="I45" s="375"/>
      <c r="J45" s="375"/>
      <c r="K45" s="375"/>
      <c r="L45" s="375"/>
      <c r="M45" s="375"/>
      <c r="N45" s="376"/>
    </row>
    <row r="46" spans="1:14" ht="47.25" customHeight="1">
      <c r="A46" s="6">
        <v>19</v>
      </c>
      <c r="B46" s="163" t="str">
        <f>IF('0 AVAL'!B54 = "", "", '0 AVAL'!B54)</f>
        <v/>
      </c>
      <c r="C46" s="163" t="str">
        <f>IF('0 AVAL'!C54 = "", "", '0 AVAL'!C54)</f>
        <v/>
      </c>
      <c r="D46" s="145"/>
      <c r="E46" s="374"/>
      <c r="F46" s="375"/>
      <c r="G46" s="375"/>
      <c r="H46" s="375"/>
      <c r="I46" s="375"/>
      <c r="J46" s="375"/>
      <c r="K46" s="375"/>
      <c r="L46" s="375"/>
      <c r="M46" s="375"/>
      <c r="N46" s="376"/>
    </row>
    <row r="47" spans="1:14" ht="47.25" customHeight="1">
      <c r="A47" s="6">
        <v>20</v>
      </c>
      <c r="B47" s="163" t="str">
        <f>IF('0 AVAL'!B55 = "", "", '0 AVAL'!B55)</f>
        <v/>
      </c>
      <c r="C47" s="163" t="str">
        <f>IF('0 AVAL'!C55 = "", "", '0 AVAL'!C55)</f>
        <v/>
      </c>
      <c r="D47" s="145"/>
      <c r="E47" s="374"/>
      <c r="F47" s="375"/>
      <c r="G47" s="375"/>
      <c r="H47" s="375"/>
      <c r="I47" s="375"/>
      <c r="J47" s="375"/>
      <c r="K47" s="375"/>
      <c r="L47" s="375"/>
      <c r="M47" s="375"/>
      <c r="N47" s="376"/>
    </row>
    <row r="48" spans="1:14" ht="47.25" customHeight="1">
      <c r="A48" s="6">
        <v>21</v>
      </c>
      <c r="B48" s="163" t="str">
        <f>IF('0 AVAL'!B56 = "", "", '0 AVAL'!B56)</f>
        <v/>
      </c>
      <c r="C48" s="163" t="str">
        <f>IF('0 AVAL'!C56 = "", "", '0 AVAL'!C56)</f>
        <v/>
      </c>
      <c r="D48" s="145"/>
      <c r="E48" s="374"/>
      <c r="F48" s="375"/>
      <c r="G48" s="375"/>
      <c r="H48" s="375"/>
      <c r="I48" s="375"/>
      <c r="J48" s="375"/>
      <c r="K48" s="375"/>
      <c r="L48" s="375"/>
      <c r="M48" s="375"/>
      <c r="N48" s="376"/>
    </row>
    <row r="49" spans="1:14" ht="47.25" customHeight="1">
      <c r="A49" s="6">
        <v>22</v>
      </c>
      <c r="B49" s="163" t="str">
        <f>IF('0 AVAL'!B57 = "", "", '0 AVAL'!B57)</f>
        <v/>
      </c>
      <c r="C49" s="163" t="str">
        <f>IF('0 AVAL'!C57 = "", "", '0 AVAL'!C57)</f>
        <v/>
      </c>
      <c r="D49" s="145"/>
      <c r="E49" s="374"/>
      <c r="F49" s="375"/>
      <c r="G49" s="375"/>
      <c r="H49" s="375"/>
      <c r="I49" s="375"/>
      <c r="J49" s="375"/>
      <c r="K49" s="375"/>
      <c r="L49" s="375"/>
      <c r="M49" s="375"/>
      <c r="N49" s="376"/>
    </row>
    <row r="50" spans="1:14" ht="47.25" customHeight="1">
      <c r="A50" s="6">
        <v>23</v>
      </c>
      <c r="B50" s="163" t="str">
        <f>IF('0 AVAL'!B58 = "", "", '0 AVAL'!B58)</f>
        <v/>
      </c>
      <c r="C50" s="163" t="str">
        <f>IF('0 AVAL'!C58 = "", "", '0 AVAL'!C58)</f>
        <v/>
      </c>
      <c r="D50" s="145"/>
      <c r="E50" s="374"/>
      <c r="F50" s="375"/>
      <c r="G50" s="375"/>
      <c r="H50" s="375"/>
      <c r="I50" s="375"/>
      <c r="J50" s="375"/>
      <c r="K50" s="375"/>
      <c r="L50" s="375"/>
      <c r="M50" s="375"/>
      <c r="N50" s="376"/>
    </row>
    <row r="51" spans="1:14" ht="47.25" customHeight="1">
      <c r="A51" s="6">
        <v>24</v>
      </c>
      <c r="B51" s="163" t="str">
        <f>IF('0 AVAL'!B59 = "", "", '0 AVAL'!B59)</f>
        <v/>
      </c>
      <c r="C51" s="163" t="str">
        <f>IF('0 AVAL'!C59 = "", "", '0 AVAL'!C59)</f>
        <v/>
      </c>
      <c r="D51" s="145"/>
      <c r="E51" s="374"/>
      <c r="F51" s="375"/>
      <c r="G51" s="375"/>
      <c r="H51" s="375"/>
      <c r="I51" s="375"/>
      <c r="J51" s="375"/>
      <c r="K51" s="375"/>
      <c r="L51" s="375"/>
      <c r="M51" s="375"/>
      <c r="N51" s="376"/>
    </row>
    <row r="52" spans="1:14" ht="47.25" customHeight="1">
      <c r="A52" s="6">
        <v>25</v>
      </c>
      <c r="B52" s="163" t="str">
        <f>IF('0 AVAL'!B60 = "", "", '0 AVAL'!B60)</f>
        <v/>
      </c>
      <c r="C52" s="163" t="str">
        <f>IF('0 AVAL'!C60 = "", "", '0 AVAL'!C60)</f>
        <v/>
      </c>
      <c r="D52" s="145"/>
      <c r="E52" s="374"/>
      <c r="F52" s="375"/>
      <c r="G52" s="375"/>
      <c r="H52" s="375"/>
      <c r="I52" s="375"/>
      <c r="J52" s="375"/>
      <c r="K52" s="375"/>
      <c r="L52" s="375"/>
      <c r="M52" s="375"/>
      <c r="N52" s="376"/>
    </row>
    <row r="53" spans="1:14" ht="47.25" customHeight="1">
      <c r="A53" s="6">
        <v>26</v>
      </c>
      <c r="B53" s="163" t="str">
        <f>IF('0 AVAL'!B61 = "", "", '0 AVAL'!B61)</f>
        <v/>
      </c>
      <c r="C53" s="163" t="str">
        <f>IF('0 AVAL'!C61 = "", "", '0 AVAL'!C61)</f>
        <v/>
      </c>
      <c r="D53" s="145"/>
      <c r="E53" s="374"/>
      <c r="F53" s="375"/>
      <c r="G53" s="375"/>
      <c r="H53" s="375"/>
      <c r="I53" s="375"/>
      <c r="J53" s="375"/>
      <c r="K53" s="375"/>
      <c r="L53" s="375"/>
      <c r="M53" s="375"/>
      <c r="N53" s="376"/>
    </row>
    <row r="54" spans="1:14" ht="47.25" customHeight="1">
      <c r="A54" s="6">
        <v>27</v>
      </c>
      <c r="B54" s="163" t="str">
        <f>IF('0 AVAL'!B62 = "", "", '0 AVAL'!B62)</f>
        <v/>
      </c>
      <c r="C54" s="163" t="str">
        <f>IF('0 AVAL'!C62 = "", "", '0 AVAL'!C62)</f>
        <v/>
      </c>
      <c r="D54" s="145"/>
      <c r="E54" s="374"/>
      <c r="F54" s="375"/>
      <c r="G54" s="375"/>
      <c r="H54" s="375"/>
      <c r="I54" s="375"/>
      <c r="J54" s="375"/>
      <c r="K54" s="375"/>
      <c r="L54" s="375"/>
      <c r="M54" s="375"/>
      <c r="N54" s="376"/>
    </row>
    <row r="55" spans="1:14" ht="47.25" customHeight="1">
      <c r="A55" s="6">
        <v>28</v>
      </c>
      <c r="B55" s="163" t="str">
        <f>IF('0 AVAL'!B63 = "", "", '0 AVAL'!B63)</f>
        <v/>
      </c>
      <c r="C55" s="163" t="str">
        <f>IF('0 AVAL'!C63 = "", "", '0 AVAL'!C63)</f>
        <v/>
      </c>
      <c r="D55" s="145"/>
      <c r="E55" s="374"/>
      <c r="F55" s="375"/>
      <c r="G55" s="375"/>
      <c r="H55" s="375"/>
      <c r="I55" s="375"/>
      <c r="J55" s="375"/>
      <c r="K55" s="375"/>
      <c r="L55" s="375"/>
      <c r="M55" s="375"/>
      <c r="N55" s="376"/>
    </row>
    <row r="56" spans="1:14" ht="47.25" customHeight="1">
      <c r="A56" s="6">
        <v>29</v>
      </c>
      <c r="B56" s="163" t="str">
        <f>IF('0 AVAL'!B64 = "", "", '0 AVAL'!B64)</f>
        <v/>
      </c>
      <c r="C56" s="163" t="str">
        <f>IF('0 AVAL'!C64 = "", "", '0 AVAL'!C64)</f>
        <v/>
      </c>
      <c r="D56" s="145"/>
      <c r="E56" s="374"/>
      <c r="F56" s="375"/>
      <c r="G56" s="375"/>
      <c r="H56" s="375"/>
      <c r="I56" s="375"/>
      <c r="J56" s="375"/>
      <c r="K56" s="375"/>
      <c r="L56" s="375"/>
      <c r="M56" s="375"/>
      <c r="N56" s="376"/>
    </row>
    <row r="57" spans="1:14" ht="47.25" customHeight="1">
      <c r="A57" s="6">
        <v>30</v>
      </c>
      <c r="B57" s="163" t="str">
        <f>IF('0 AVAL'!B65 = "", "", '0 AVAL'!B65)</f>
        <v/>
      </c>
      <c r="C57" s="163" t="str">
        <f>IF('0 AVAL'!C65 = "", "", '0 AVAL'!C65)</f>
        <v/>
      </c>
      <c r="D57" s="145"/>
      <c r="E57" s="374"/>
      <c r="F57" s="375"/>
      <c r="G57" s="375"/>
      <c r="H57" s="375"/>
      <c r="I57" s="375"/>
      <c r="J57" s="375"/>
      <c r="K57" s="375"/>
      <c r="L57" s="375"/>
      <c r="M57" s="375"/>
      <c r="N57" s="376"/>
    </row>
    <row r="58" spans="1:14" ht="47.25" customHeight="1">
      <c r="A58" s="6">
        <v>31</v>
      </c>
      <c r="B58" s="163" t="str">
        <f>IF('0 AVAL'!B66 = "", "", '0 AVAL'!B66)</f>
        <v/>
      </c>
      <c r="C58" s="163" t="str">
        <f>IF('0 AVAL'!C66 = "", "", '0 AVAL'!C66)</f>
        <v/>
      </c>
      <c r="D58" s="145"/>
      <c r="E58" s="181"/>
      <c r="F58" s="182"/>
      <c r="G58" s="182"/>
      <c r="H58" s="182"/>
      <c r="I58" s="182"/>
      <c r="J58" s="182"/>
      <c r="K58" s="182"/>
      <c r="L58" s="182"/>
      <c r="M58" s="182"/>
      <c r="N58" s="183"/>
    </row>
    <row r="59" spans="1:14" ht="47.25" customHeight="1">
      <c r="A59" s="6">
        <v>32</v>
      </c>
      <c r="B59" s="163" t="str">
        <f>IF('0 AVAL'!B67 = "", "", '0 AVAL'!B67)</f>
        <v/>
      </c>
      <c r="C59" s="163" t="str">
        <f>IF('0 AVAL'!C67 = "", "", '0 AVAL'!C67)</f>
        <v/>
      </c>
      <c r="D59" s="145"/>
      <c r="E59" s="181"/>
      <c r="F59" s="182"/>
      <c r="G59" s="182"/>
      <c r="H59" s="182"/>
      <c r="I59" s="182"/>
      <c r="J59" s="182"/>
      <c r="K59" s="182"/>
      <c r="L59" s="182"/>
      <c r="M59" s="182"/>
      <c r="N59" s="183"/>
    </row>
    <row r="60" spans="1:14" ht="47.25" customHeight="1">
      <c r="A60" s="6">
        <v>33</v>
      </c>
      <c r="B60" s="163" t="str">
        <f>IF('0 AVAL'!B68 = "", "", '0 AVAL'!B68)</f>
        <v/>
      </c>
      <c r="C60" s="163" t="str">
        <f>IF('0 AVAL'!C68 = "", "", '0 AVAL'!C68)</f>
        <v/>
      </c>
      <c r="D60" s="145"/>
      <c r="E60" s="181"/>
      <c r="F60" s="182"/>
      <c r="G60" s="182"/>
      <c r="H60" s="182"/>
      <c r="I60" s="182"/>
      <c r="J60" s="182"/>
      <c r="K60" s="182"/>
      <c r="L60" s="182"/>
      <c r="M60" s="182"/>
      <c r="N60" s="183"/>
    </row>
    <row r="61" spans="1:14" ht="47.25" customHeight="1">
      <c r="A61" s="6">
        <v>34</v>
      </c>
      <c r="B61" s="163" t="str">
        <f>IF('0 AVAL'!B69 = "", "", '0 AVAL'!B69)</f>
        <v/>
      </c>
      <c r="C61" s="163" t="str">
        <f>IF('0 AVAL'!C69 = "", "", '0 AVAL'!C69)</f>
        <v/>
      </c>
      <c r="D61" s="145"/>
      <c r="E61" s="181"/>
      <c r="F61" s="182"/>
      <c r="G61" s="182"/>
      <c r="H61" s="182"/>
      <c r="I61" s="182"/>
      <c r="J61" s="182"/>
      <c r="K61" s="182"/>
      <c r="L61" s="182"/>
      <c r="M61" s="182"/>
      <c r="N61" s="183"/>
    </row>
    <row r="62" spans="1:14" ht="47.25" customHeight="1">
      <c r="A62" s="6">
        <v>35</v>
      </c>
      <c r="B62" s="163" t="str">
        <f>IF('0 AVAL'!B70 = "", "", '0 AVAL'!B70)</f>
        <v/>
      </c>
      <c r="C62" s="163" t="str">
        <f>IF('0 AVAL'!C70 = "", "", '0 AVAL'!C70)</f>
        <v/>
      </c>
      <c r="D62" s="145"/>
      <c r="E62" s="181"/>
      <c r="F62" s="182"/>
      <c r="G62" s="182"/>
      <c r="H62" s="182"/>
      <c r="I62" s="182"/>
      <c r="J62" s="182"/>
      <c r="K62" s="182"/>
      <c r="L62" s="182"/>
      <c r="M62" s="182"/>
      <c r="N62" s="183"/>
    </row>
    <row r="63" spans="1:14" ht="47.25" customHeight="1">
      <c r="A63" s="6">
        <v>36</v>
      </c>
      <c r="B63" s="163" t="str">
        <f>IF('0 AVAL'!B71 = "", "", '0 AVAL'!B71)</f>
        <v/>
      </c>
      <c r="C63" s="163" t="str">
        <f>IF('0 AVAL'!C71 = "", "", '0 AVAL'!C71)</f>
        <v/>
      </c>
      <c r="D63" s="145"/>
      <c r="E63" s="374"/>
      <c r="F63" s="375"/>
      <c r="G63" s="375"/>
      <c r="H63" s="375"/>
      <c r="I63" s="375"/>
      <c r="J63" s="375"/>
      <c r="K63" s="375"/>
      <c r="L63" s="375"/>
      <c r="M63" s="375"/>
      <c r="N63" s="376"/>
    </row>
    <row r="64" spans="1:14" ht="47.25" customHeight="1">
      <c r="A64" s="6">
        <v>37</v>
      </c>
      <c r="B64" s="163" t="str">
        <f>IF('0 AVAL'!B72 = "", "", '0 AVAL'!B72)</f>
        <v/>
      </c>
      <c r="C64" s="163" t="str">
        <f>IF('0 AVAL'!C72 = "", "", '0 AVAL'!C72)</f>
        <v/>
      </c>
      <c r="D64" s="145"/>
      <c r="E64" s="374"/>
      <c r="F64" s="375"/>
      <c r="G64" s="375"/>
      <c r="H64" s="375"/>
      <c r="I64" s="375"/>
      <c r="J64" s="375"/>
      <c r="K64" s="375"/>
      <c r="L64" s="375"/>
      <c r="M64" s="375"/>
      <c r="N64" s="376"/>
    </row>
    <row r="65" spans="1:14" ht="47.25" customHeight="1">
      <c r="A65" s="6">
        <v>38</v>
      </c>
      <c r="B65" s="163" t="str">
        <f>IF('0 AVAL'!B73 = "", "", '0 AVAL'!B73)</f>
        <v/>
      </c>
      <c r="C65" s="163" t="str">
        <f>IF('0 AVAL'!C73 = "", "", '0 AVAL'!C73)</f>
        <v/>
      </c>
      <c r="D65" s="145"/>
      <c r="E65" s="374"/>
      <c r="F65" s="375"/>
      <c r="G65" s="375"/>
      <c r="H65" s="375"/>
      <c r="I65" s="375"/>
      <c r="J65" s="375"/>
      <c r="K65" s="375"/>
      <c r="L65" s="375"/>
      <c r="M65" s="375"/>
      <c r="N65" s="376"/>
    </row>
    <row r="66" spans="1:14" ht="47.25" customHeight="1">
      <c r="A66" s="6">
        <v>39</v>
      </c>
      <c r="B66" s="163" t="str">
        <f>IF('0 AVAL'!B74 = "", "", '0 AVAL'!B74)</f>
        <v/>
      </c>
      <c r="C66" s="163" t="str">
        <f>IF('0 AVAL'!C74 = "", "", '0 AVAL'!C74)</f>
        <v/>
      </c>
      <c r="D66" s="145"/>
      <c r="E66" s="374"/>
      <c r="F66" s="375"/>
      <c r="G66" s="375"/>
      <c r="H66" s="375"/>
      <c r="I66" s="375"/>
      <c r="J66" s="375"/>
      <c r="K66" s="375"/>
      <c r="L66" s="375"/>
      <c r="M66" s="375"/>
      <c r="N66" s="376"/>
    </row>
    <row r="67" spans="1:14" ht="59.25" customHeight="1">
      <c r="A67" s="6">
        <v>40</v>
      </c>
      <c r="B67" s="163" t="str">
        <f>IF('0 AVAL'!B75 = "", "", '0 AVAL'!B75)</f>
        <v/>
      </c>
      <c r="C67" s="163" t="str">
        <f>IF('0 AVAL'!C75 = "", "", '0 AVAL'!C75)</f>
        <v/>
      </c>
      <c r="D67" s="145"/>
      <c r="E67" s="374"/>
      <c r="F67" s="375"/>
      <c r="G67" s="375"/>
      <c r="H67" s="375"/>
      <c r="I67" s="375"/>
      <c r="J67" s="375"/>
      <c r="K67" s="375"/>
      <c r="L67" s="375"/>
      <c r="M67" s="375"/>
      <c r="N67" s="376"/>
    </row>
    <row r="68" spans="1:14" ht="23.25" customHeight="1" thickBot="1"/>
    <row r="69" spans="1:14" s="37" customFormat="1" ht="59.25" customHeight="1" thickBot="1">
      <c r="B69" s="380" t="s">
        <v>152</v>
      </c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2"/>
    </row>
    <row r="70" spans="1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29" customFormat="1" ht="34.5" customHeight="1">
      <c r="A71" s="129">
        <v>1</v>
      </c>
      <c r="B71" s="281"/>
      <c r="C71" s="281"/>
      <c r="D71" s="281"/>
      <c r="E71" s="281"/>
      <c r="F71" s="281"/>
      <c r="G71" s="281"/>
      <c r="H71" s="281"/>
      <c r="I71" s="281"/>
      <c r="J71" s="287" t="s">
        <v>70</v>
      </c>
      <c r="K71" s="288"/>
      <c r="L71" s="288"/>
      <c r="M71" s="288"/>
      <c r="N71" s="289"/>
    </row>
    <row r="72" spans="1:14" s="29" customFormat="1" ht="34.5" customHeight="1">
      <c r="A72" s="129">
        <v>2</v>
      </c>
      <c r="B72" s="325"/>
      <c r="C72" s="325"/>
      <c r="D72" s="325"/>
      <c r="E72" s="325"/>
      <c r="F72" s="325"/>
      <c r="G72" s="325"/>
      <c r="H72" s="325"/>
      <c r="I72" s="325"/>
      <c r="J72" s="290"/>
      <c r="K72" s="291"/>
      <c r="L72" s="291"/>
      <c r="M72" s="291"/>
      <c r="N72" s="292"/>
    </row>
    <row r="73" spans="1:14" s="29" customFormat="1" ht="34.5" customHeight="1">
      <c r="A73" s="129">
        <v>3</v>
      </c>
      <c r="B73" s="325"/>
      <c r="C73" s="325"/>
      <c r="D73" s="325"/>
      <c r="E73" s="325"/>
      <c r="F73" s="325"/>
      <c r="G73" s="325"/>
      <c r="H73" s="325"/>
      <c r="I73" s="325"/>
      <c r="J73" s="290"/>
      <c r="K73" s="291"/>
      <c r="L73" s="291"/>
      <c r="M73" s="291"/>
      <c r="N73" s="292"/>
    </row>
    <row r="74" spans="1:14" s="29" customFormat="1" ht="34.5" customHeight="1">
      <c r="A74" s="129">
        <v>4</v>
      </c>
      <c r="B74" s="325"/>
      <c r="C74" s="325"/>
      <c r="D74" s="325"/>
      <c r="E74" s="325"/>
      <c r="F74" s="325"/>
      <c r="G74" s="325"/>
      <c r="H74" s="325"/>
      <c r="I74" s="325"/>
      <c r="J74" s="290"/>
      <c r="K74" s="291"/>
      <c r="L74" s="291"/>
      <c r="M74" s="291"/>
      <c r="N74" s="292"/>
    </row>
    <row r="75" spans="1:14" s="29" customFormat="1" ht="34.5" customHeight="1">
      <c r="A75" s="129">
        <v>5</v>
      </c>
      <c r="B75" s="325"/>
      <c r="C75" s="325"/>
      <c r="D75" s="325"/>
      <c r="E75" s="325"/>
      <c r="F75" s="325"/>
      <c r="G75" s="325"/>
      <c r="H75" s="325"/>
      <c r="I75" s="325"/>
      <c r="J75" s="290"/>
      <c r="K75" s="291"/>
      <c r="L75" s="291"/>
      <c r="M75" s="291"/>
      <c r="N75" s="292"/>
    </row>
    <row r="76" spans="1:14" s="29" customFormat="1" ht="34.5" customHeight="1">
      <c r="A76" s="129">
        <v>6</v>
      </c>
      <c r="B76" s="325"/>
      <c r="C76" s="325"/>
      <c r="D76" s="325"/>
      <c r="E76" s="325"/>
      <c r="F76" s="325"/>
      <c r="G76" s="325"/>
      <c r="H76" s="325"/>
      <c r="I76" s="325"/>
      <c r="J76" s="290"/>
      <c r="K76" s="291"/>
      <c r="L76" s="291"/>
      <c r="M76" s="291"/>
      <c r="N76" s="292"/>
    </row>
    <row r="77" spans="1:14" s="29" customFormat="1" ht="34.5" customHeight="1" thickBot="1">
      <c r="A77" s="129">
        <v>7</v>
      </c>
      <c r="B77" s="319"/>
      <c r="C77" s="319"/>
      <c r="D77" s="319"/>
      <c r="E77" s="319"/>
      <c r="F77" s="319"/>
      <c r="G77" s="319"/>
      <c r="H77" s="319"/>
      <c r="I77" s="319"/>
      <c r="J77" s="293"/>
      <c r="K77" s="294"/>
      <c r="L77" s="294"/>
      <c r="M77" s="294"/>
      <c r="N77" s="295"/>
    </row>
    <row r="78" spans="1:14">
      <c r="B78" s="282" t="s">
        <v>71</v>
      </c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</row>
    <row r="79" spans="1:14" ht="15.6" customHeight="1"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</row>
  </sheetData>
  <mergeCells count="66">
    <mergeCell ref="B78:N79"/>
    <mergeCell ref="B71:I71"/>
    <mergeCell ref="J71:N77"/>
    <mergeCell ref="B72:I72"/>
    <mergeCell ref="B73:I73"/>
    <mergeCell ref="B74:I74"/>
    <mergeCell ref="B75:I75"/>
    <mergeCell ref="B76:I76"/>
    <mergeCell ref="B77:I77"/>
    <mergeCell ref="B69:N69"/>
    <mergeCell ref="E52:N52"/>
    <mergeCell ref="E53:N53"/>
    <mergeCell ref="E54:N54"/>
    <mergeCell ref="E55:N55"/>
    <mergeCell ref="E56:N56"/>
    <mergeCell ref="E57:N57"/>
    <mergeCell ref="E63:N63"/>
    <mergeCell ref="E64:N64"/>
    <mergeCell ref="E65:N65"/>
    <mergeCell ref="E66:N66"/>
    <mergeCell ref="E67:N67"/>
    <mergeCell ref="E51:N51"/>
    <mergeCell ref="E40:N40"/>
    <mergeCell ref="E41:N41"/>
    <mergeCell ref="E42:N42"/>
    <mergeCell ref="E43:N43"/>
    <mergeCell ref="E44:N44"/>
    <mergeCell ref="E45:N45"/>
    <mergeCell ref="E46:N46"/>
    <mergeCell ref="E47:N47"/>
    <mergeCell ref="E48:N48"/>
    <mergeCell ref="E49:N49"/>
    <mergeCell ref="E50:N50"/>
    <mergeCell ref="E39:N39"/>
    <mergeCell ref="E28:N28"/>
    <mergeCell ref="E29:N29"/>
    <mergeCell ref="E30:N30"/>
    <mergeCell ref="E31:N31"/>
    <mergeCell ref="E32:N32"/>
    <mergeCell ref="E33:N33"/>
    <mergeCell ref="E34:N34"/>
    <mergeCell ref="E35:N35"/>
    <mergeCell ref="E36:N36"/>
    <mergeCell ref="E37:N37"/>
    <mergeCell ref="E38:N38"/>
    <mergeCell ref="E27:N27"/>
    <mergeCell ref="J7:M7"/>
    <mergeCell ref="B9:N9"/>
    <mergeCell ref="B11:M11"/>
    <mergeCell ref="N11:Y11"/>
    <mergeCell ref="B12:N12"/>
    <mergeCell ref="B14:M14"/>
    <mergeCell ref="N14:Y14"/>
    <mergeCell ref="B15:N15"/>
    <mergeCell ref="B18:N18"/>
    <mergeCell ref="B20:N20"/>
    <mergeCell ref="B22:N23"/>
    <mergeCell ref="B25:N25"/>
    <mergeCell ref="B2:C6"/>
    <mergeCell ref="D2:F6"/>
    <mergeCell ref="G2:G6"/>
    <mergeCell ref="J2:N2"/>
    <mergeCell ref="J3:M3"/>
    <mergeCell ref="J4:M4"/>
    <mergeCell ref="J5:M5"/>
    <mergeCell ref="J6:M6"/>
  </mergeCells>
  <dataValidations count="1">
    <dataValidation type="date" allowBlank="1" showInputMessage="1" showErrorMessage="1" sqref="J7:M7" xr:uid="{842A1023-5EE3-426E-812C-E1DB26226E1B}">
      <formula1>45170</formula1>
      <formula2>47664</formula2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337E-B226-4B06-8AF4-3E29502F4AA7}">
  <sheetPr>
    <tabColor rgb="FFC00000"/>
  </sheetPr>
  <dimension ref="A1:FY79"/>
  <sheetViews>
    <sheetView topLeftCell="A49" workbookViewId="0">
      <selection activeCell="B28" sqref="B28:C67"/>
    </sheetView>
  </sheetViews>
  <sheetFormatPr baseColWidth="10" defaultColWidth="0" defaultRowHeight="15.75" zeroHeight="1"/>
  <cols>
    <col min="1" max="1" width="3.265625" style="1" customWidth="1"/>
    <col min="2" max="2" width="21.73046875" style="1" customWidth="1"/>
    <col min="3" max="3" width="25.265625" style="1" customWidth="1"/>
    <col min="4" max="8" width="12.59765625" style="1" customWidth="1"/>
    <col min="9" max="9" width="16.265625" style="1" customWidth="1"/>
    <col min="10" max="13" width="12.59765625" style="1" customWidth="1"/>
    <col min="14" max="14" width="2.73046875" style="1" customWidth="1"/>
    <col min="15" max="22" width="0" style="1" hidden="1"/>
    <col min="23" max="181" width="4.3984375" style="1" hidden="1"/>
    <col min="182" max="16383" width="0" style="1" hidden="1"/>
    <col min="16384" max="16384" width="5" style="1" customWidth="1"/>
  </cols>
  <sheetData>
    <row r="1" spans="1:25" ht="29.25" customHeight="1">
      <c r="B1" s="29"/>
      <c r="C1" s="29"/>
      <c r="D1" s="29"/>
      <c r="E1" s="29"/>
      <c r="F1" s="29"/>
      <c r="G1" s="29"/>
      <c r="H1" s="29"/>
      <c r="I1" s="177" t="s">
        <v>141</v>
      </c>
      <c r="J1" s="30"/>
      <c r="K1" s="30"/>
      <c r="L1" s="31" t="s">
        <v>142</v>
      </c>
      <c r="M1" s="30"/>
    </row>
    <row r="2" spans="1:25" ht="15.75" customHeight="1">
      <c r="B2" s="197" t="e" vm="1">
        <v>#VALUE!</v>
      </c>
      <c r="C2" s="197"/>
      <c r="D2" s="197" t="e" vm="2">
        <v>#VALUE!</v>
      </c>
      <c r="E2" s="197"/>
      <c r="F2" s="197"/>
      <c r="G2" s="197"/>
      <c r="H2" s="32"/>
      <c r="J2" s="248"/>
      <c r="K2" s="248"/>
      <c r="L2" s="248"/>
      <c r="M2" s="248"/>
      <c r="N2" s="248"/>
    </row>
    <row r="3" spans="1:25" ht="15.75" customHeight="1">
      <c r="B3" s="197"/>
      <c r="C3" s="197"/>
      <c r="D3" s="197"/>
      <c r="E3" s="197"/>
      <c r="F3" s="197"/>
      <c r="G3" s="197"/>
      <c r="H3" s="32"/>
      <c r="I3" s="70" t="s">
        <v>1</v>
      </c>
      <c r="J3" s="198" t="str">
        <f>IF(INDEX!G3 = "", "", INDEX!G3)</f>
        <v/>
      </c>
      <c r="K3" s="198"/>
      <c r="L3" s="198"/>
      <c r="M3" s="198"/>
    </row>
    <row r="4" spans="1:25" ht="15.75" customHeight="1">
      <c r="B4" s="197"/>
      <c r="C4" s="197"/>
      <c r="D4" s="197"/>
      <c r="E4" s="197"/>
      <c r="F4" s="197"/>
      <c r="G4" s="197"/>
      <c r="H4" s="32"/>
      <c r="I4" s="33" t="s">
        <v>2</v>
      </c>
      <c r="J4" s="198" t="str">
        <f>IF(INDEX!G4 = "", "", INDEX!G4)</f>
        <v/>
      </c>
      <c r="K4" s="198"/>
      <c r="L4" s="198"/>
      <c r="M4" s="198"/>
    </row>
    <row r="5" spans="1:25" ht="15.75" hidden="1" customHeight="1">
      <c r="A5" s="184"/>
      <c r="B5" s="197"/>
      <c r="C5" s="197"/>
      <c r="D5" s="197"/>
      <c r="E5" s="197"/>
      <c r="F5" s="197"/>
      <c r="G5" s="197"/>
      <c r="H5" s="32"/>
      <c r="J5" s="198"/>
      <c r="K5" s="198"/>
      <c r="L5" s="198"/>
      <c r="M5" s="198"/>
    </row>
    <row r="6" spans="1:25" ht="15.75" customHeight="1" thickBot="1">
      <c r="B6" s="197"/>
      <c r="C6" s="197"/>
      <c r="D6" s="197"/>
      <c r="E6" s="197"/>
      <c r="F6" s="197"/>
      <c r="G6" s="197"/>
      <c r="H6" s="32"/>
      <c r="I6" s="71" t="s">
        <v>3</v>
      </c>
      <c r="J6" s="198" t="str">
        <f>INDEX!G5</f>
        <v>2025-2026</v>
      </c>
      <c r="K6" s="198"/>
      <c r="L6" s="198"/>
      <c r="M6" s="198"/>
    </row>
    <row r="7" spans="1:25">
      <c r="B7" s="29"/>
      <c r="C7" s="29"/>
      <c r="D7" s="32"/>
      <c r="E7" s="32"/>
      <c r="F7" s="32"/>
      <c r="G7" s="32"/>
      <c r="H7" s="32"/>
      <c r="I7" s="73" t="s">
        <v>97</v>
      </c>
      <c r="J7" s="249"/>
      <c r="K7" s="298"/>
      <c r="L7" s="298"/>
      <c r="M7" s="298"/>
    </row>
    <row r="8" spans="1:25"/>
    <row r="9" spans="1:25" s="37" customFormat="1" ht="21">
      <c r="B9" s="196" t="s">
        <v>143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</row>
    <row r="10" spans="1:25"/>
    <row r="11" spans="1:25" ht="15.6" customHeight="1">
      <c r="B11" s="250" t="s">
        <v>144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</row>
    <row r="12" spans="1:25" ht="56.25" customHeight="1"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7"/>
    </row>
    <row r="13" spans="1:25"/>
    <row r="14" spans="1:25">
      <c r="B14" s="250" t="s">
        <v>145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</row>
    <row r="15" spans="1:25" ht="56.25" customHeight="1">
      <c r="B15" s="365"/>
      <c r="C15" s="366"/>
      <c r="D15" s="366"/>
      <c r="E15" s="366"/>
      <c r="F15" s="366"/>
      <c r="G15" s="366"/>
      <c r="H15" s="366"/>
      <c r="I15" s="366"/>
      <c r="J15" s="366"/>
      <c r="K15" s="366"/>
      <c r="L15" s="366"/>
      <c r="M15" s="366"/>
      <c r="N15" s="367"/>
    </row>
    <row r="16" spans="1:25" ht="0" hidden="1" customHeight="1"/>
    <row r="17" spans="1:14">
      <c r="B17" s="178" t="s">
        <v>146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</row>
    <row r="18" spans="1:14" ht="56.25" customHeight="1">
      <c r="B18" s="365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7"/>
    </row>
    <row r="19" spans="1:14"/>
    <row r="20" spans="1:14" s="37" customFormat="1" ht="21">
      <c r="B20" s="196" t="s">
        <v>147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/>
    <row r="22" spans="1:14" ht="15.6" customHeight="1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70"/>
    </row>
    <row r="23" spans="1:14" ht="253.5" customHeight="1">
      <c r="B23" s="371"/>
      <c r="C23" s="372"/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3"/>
    </row>
    <row r="24" spans="1:14"/>
    <row r="25" spans="1:14" s="37" customFormat="1" ht="21">
      <c r="B25" s="196" t="s">
        <v>148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</row>
    <row r="26" spans="1:14"/>
    <row r="27" spans="1:14" s="6" customFormat="1" ht="45.75" customHeight="1">
      <c r="B27" s="160" t="s">
        <v>55</v>
      </c>
      <c r="C27" s="64" t="s">
        <v>56</v>
      </c>
      <c r="D27" s="64" t="s">
        <v>154</v>
      </c>
      <c r="E27" s="251" t="s">
        <v>150</v>
      </c>
      <c r="F27" s="251"/>
      <c r="G27" s="251"/>
      <c r="H27" s="251"/>
      <c r="I27" s="251"/>
      <c r="J27" s="251"/>
      <c r="K27" s="251"/>
      <c r="L27" s="251"/>
      <c r="M27" s="251"/>
      <c r="N27" s="252"/>
    </row>
    <row r="28" spans="1:14" ht="47.25" customHeight="1">
      <c r="A28" s="6">
        <v>1</v>
      </c>
      <c r="B28" s="163" t="str">
        <f>IF('0 AVAL'!B36 = "", "", '0 AVAL'!B36)</f>
        <v/>
      </c>
      <c r="C28" s="163" t="str">
        <f>IF('0 AVAL'!C36 = "", "", '0 AVAL'!C36)</f>
        <v/>
      </c>
      <c r="D28" s="164"/>
      <c r="E28" s="377" t="s">
        <v>151</v>
      </c>
      <c r="F28" s="378"/>
      <c r="G28" s="378"/>
      <c r="H28" s="378"/>
      <c r="I28" s="378"/>
      <c r="J28" s="378"/>
      <c r="K28" s="378"/>
      <c r="L28" s="378"/>
      <c r="M28" s="378"/>
      <c r="N28" s="379"/>
    </row>
    <row r="29" spans="1:14" ht="47.25" customHeight="1">
      <c r="A29" s="6">
        <v>2</v>
      </c>
      <c r="B29" s="163" t="str">
        <f>IF('0 AVAL'!B37 = "", "", '0 AVAL'!B37)</f>
        <v/>
      </c>
      <c r="C29" s="163" t="str">
        <f>IF('0 AVAL'!C37 = "", "", '0 AVAL'!C37)</f>
        <v/>
      </c>
      <c r="D29" s="145"/>
      <c r="E29" s="374"/>
      <c r="F29" s="375"/>
      <c r="G29" s="375"/>
      <c r="H29" s="375"/>
      <c r="I29" s="375"/>
      <c r="J29" s="375"/>
      <c r="K29" s="375"/>
      <c r="L29" s="375"/>
      <c r="M29" s="375"/>
      <c r="N29" s="376"/>
    </row>
    <row r="30" spans="1:14" ht="47.25" customHeight="1">
      <c r="A30" s="6">
        <v>3</v>
      </c>
      <c r="B30" s="163" t="str">
        <f>IF('0 AVAL'!B38 = "", "", '0 AVAL'!B38)</f>
        <v/>
      </c>
      <c r="C30" s="163" t="str">
        <f>IF('0 AVAL'!C38 = "", "", '0 AVAL'!C38)</f>
        <v/>
      </c>
      <c r="D30" s="145"/>
      <c r="E30" s="374"/>
      <c r="F30" s="375"/>
      <c r="G30" s="375"/>
      <c r="H30" s="375"/>
      <c r="I30" s="375"/>
      <c r="J30" s="375"/>
      <c r="K30" s="375"/>
      <c r="L30" s="375"/>
      <c r="M30" s="375"/>
      <c r="N30" s="376"/>
    </row>
    <row r="31" spans="1:14" ht="47.25" customHeight="1">
      <c r="A31" s="6">
        <v>4</v>
      </c>
      <c r="B31" s="163" t="str">
        <f>IF('0 AVAL'!B39 = "", "", '0 AVAL'!B39)</f>
        <v/>
      </c>
      <c r="C31" s="163" t="str">
        <f>IF('0 AVAL'!C39 = "", "", '0 AVAL'!C39)</f>
        <v/>
      </c>
      <c r="D31" s="145"/>
      <c r="E31" s="374"/>
      <c r="F31" s="375"/>
      <c r="G31" s="375"/>
      <c r="H31" s="375"/>
      <c r="I31" s="375"/>
      <c r="J31" s="375"/>
      <c r="K31" s="375"/>
      <c r="L31" s="375"/>
      <c r="M31" s="375"/>
      <c r="N31" s="376"/>
    </row>
    <row r="32" spans="1:14" ht="47.25" customHeight="1">
      <c r="A32" s="6">
        <v>5</v>
      </c>
      <c r="B32" s="163" t="str">
        <f>IF('0 AVAL'!B40 = "", "", '0 AVAL'!B40)</f>
        <v/>
      </c>
      <c r="C32" s="163" t="str">
        <f>IF('0 AVAL'!C40 = "", "", '0 AVAL'!C40)</f>
        <v/>
      </c>
      <c r="D32" s="145"/>
      <c r="E32" s="374"/>
      <c r="F32" s="375"/>
      <c r="G32" s="375"/>
      <c r="H32" s="375"/>
      <c r="I32" s="375"/>
      <c r="J32" s="375"/>
      <c r="K32" s="375"/>
      <c r="L32" s="375"/>
      <c r="M32" s="375"/>
      <c r="N32" s="376"/>
    </row>
    <row r="33" spans="1:14" ht="47.25" customHeight="1">
      <c r="A33" s="6">
        <v>6</v>
      </c>
      <c r="B33" s="163" t="str">
        <f>IF('0 AVAL'!B41 = "", "", '0 AVAL'!B41)</f>
        <v/>
      </c>
      <c r="C33" s="163" t="str">
        <f>IF('0 AVAL'!C41 = "", "", '0 AVAL'!C41)</f>
        <v/>
      </c>
      <c r="D33" s="145"/>
      <c r="E33" s="374"/>
      <c r="F33" s="375"/>
      <c r="G33" s="375"/>
      <c r="H33" s="375"/>
      <c r="I33" s="375"/>
      <c r="J33" s="375"/>
      <c r="K33" s="375"/>
      <c r="L33" s="375"/>
      <c r="M33" s="375"/>
      <c r="N33" s="376"/>
    </row>
    <row r="34" spans="1:14" ht="47.25" customHeight="1">
      <c r="A34" s="6">
        <v>7</v>
      </c>
      <c r="B34" s="163" t="str">
        <f>IF('0 AVAL'!B42 = "", "", '0 AVAL'!B42)</f>
        <v/>
      </c>
      <c r="C34" s="163" t="str">
        <f>IF('0 AVAL'!C42 = "", "", '0 AVAL'!C42)</f>
        <v/>
      </c>
      <c r="D34" s="145"/>
      <c r="E34" s="374"/>
      <c r="F34" s="375"/>
      <c r="G34" s="375"/>
      <c r="H34" s="375"/>
      <c r="I34" s="375"/>
      <c r="J34" s="375"/>
      <c r="K34" s="375"/>
      <c r="L34" s="375"/>
      <c r="M34" s="375"/>
      <c r="N34" s="376"/>
    </row>
    <row r="35" spans="1:14" ht="47.25" customHeight="1">
      <c r="A35" s="6">
        <v>8</v>
      </c>
      <c r="B35" s="163" t="str">
        <f>IF('0 AVAL'!B43 = "", "", '0 AVAL'!B43)</f>
        <v/>
      </c>
      <c r="C35" s="163" t="str">
        <f>IF('0 AVAL'!C43 = "", "", '0 AVAL'!C43)</f>
        <v/>
      </c>
      <c r="D35" s="145"/>
      <c r="E35" s="374"/>
      <c r="F35" s="375"/>
      <c r="G35" s="375"/>
      <c r="H35" s="375"/>
      <c r="I35" s="375"/>
      <c r="J35" s="375"/>
      <c r="K35" s="375"/>
      <c r="L35" s="375"/>
      <c r="M35" s="375"/>
      <c r="N35" s="376"/>
    </row>
    <row r="36" spans="1:14" ht="47.25" customHeight="1">
      <c r="A36" s="6">
        <v>9</v>
      </c>
      <c r="B36" s="163" t="str">
        <f>IF('0 AVAL'!B44 = "", "", '0 AVAL'!B44)</f>
        <v/>
      </c>
      <c r="C36" s="163" t="str">
        <f>IF('0 AVAL'!C44 = "", "", '0 AVAL'!C44)</f>
        <v/>
      </c>
      <c r="D36" s="145"/>
      <c r="E36" s="374"/>
      <c r="F36" s="375"/>
      <c r="G36" s="375"/>
      <c r="H36" s="375"/>
      <c r="I36" s="375"/>
      <c r="J36" s="375"/>
      <c r="K36" s="375"/>
      <c r="L36" s="375"/>
      <c r="M36" s="375"/>
      <c r="N36" s="376"/>
    </row>
    <row r="37" spans="1:14" ht="47.25" customHeight="1">
      <c r="A37" s="6">
        <v>10</v>
      </c>
      <c r="B37" s="163" t="str">
        <f>IF('0 AVAL'!B45 = "", "", '0 AVAL'!B45)</f>
        <v/>
      </c>
      <c r="C37" s="163" t="str">
        <f>IF('0 AVAL'!C45 = "", "", '0 AVAL'!C45)</f>
        <v/>
      </c>
      <c r="D37" s="145"/>
      <c r="E37" s="374"/>
      <c r="F37" s="375"/>
      <c r="G37" s="375"/>
      <c r="H37" s="375"/>
      <c r="I37" s="375"/>
      <c r="J37" s="375"/>
      <c r="K37" s="375"/>
      <c r="L37" s="375"/>
      <c r="M37" s="375"/>
      <c r="N37" s="376"/>
    </row>
    <row r="38" spans="1:14" ht="47.25" customHeight="1">
      <c r="A38" s="6">
        <v>11</v>
      </c>
      <c r="B38" s="163" t="str">
        <f>IF('0 AVAL'!B46 = "", "", '0 AVAL'!B46)</f>
        <v/>
      </c>
      <c r="C38" s="163" t="str">
        <f>IF('0 AVAL'!C46 = "", "", '0 AVAL'!C46)</f>
        <v/>
      </c>
      <c r="D38" s="145"/>
      <c r="E38" s="374"/>
      <c r="F38" s="375"/>
      <c r="G38" s="375"/>
      <c r="H38" s="375"/>
      <c r="I38" s="375"/>
      <c r="J38" s="375"/>
      <c r="K38" s="375"/>
      <c r="L38" s="375"/>
      <c r="M38" s="375"/>
      <c r="N38" s="376"/>
    </row>
    <row r="39" spans="1:14" ht="47.25" customHeight="1">
      <c r="A39" s="6">
        <v>12</v>
      </c>
      <c r="B39" s="163" t="str">
        <f>IF('0 AVAL'!B47 = "", "", '0 AVAL'!B47)</f>
        <v/>
      </c>
      <c r="C39" s="163" t="str">
        <f>IF('0 AVAL'!C47 = "", "", '0 AVAL'!C47)</f>
        <v/>
      </c>
      <c r="D39" s="145"/>
      <c r="E39" s="374"/>
      <c r="F39" s="375"/>
      <c r="G39" s="375"/>
      <c r="H39" s="375"/>
      <c r="I39" s="375"/>
      <c r="J39" s="375"/>
      <c r="K39" s="375"/>
      <c r="L39" s="375"/>
      <c r="M39" s="375"/>
      <c r="N39" s="376"/>
    </row>
    <row r="40" spans="1:14" ht="47.25" customHeight="1">
      <c r="A40" s="6">
        <v>13</v>
      </c>
      <c r="B40" s="163" t="str">
        <f>IF('0 AVAL'!B48 = "", "", '0 AVAL'!B48)</f>
        <v/>
      </c>
      <c r="C40" s="163" t="str">
        <f>IF('0 AVAL'!C48 = "", "", '0 AVAL'!C48)</f>
        <v/>
      </c>
      <c r="D40" s="145"/>
      <c r="E40" s="374"/>
      <c r="F40" s="375"/>
      <c r="G40" s="375"/>
      <c r="H40" s="375"/>
      <c r="I40" s="375"/>
      <c r="J40" s="375"/>
      <c r="K40" s="375"/>
      <c r="L40" s="375"/>
      <c r="M40" s="375"/>
      <c r="N40" s="376"/>
    </row>
    <row r="41" spans="1:14" ht="47.25" customHeight="1">
      <c r="A41" s="6">
        <v>14</v>
      </c>
      <c r="B41" s="163" t="str">
        <f>IF('0 AVAL'!B49 = "", "", '0 AVAL'!B49)</f>
        <v/>
      </c>
      <c r="C41" s="163" t="str">
        <f>IF('0 AVAL'!C49 = "", "", '0 AVAL'!C49)</f>
        <v/>
      </c>
      <c r="D41" s="145"/>
      <c r="E41" s="374"/>
      <c r="F41" s="375"/>
      <c r="G41" s="375"/>
      <c r="H41" s="375"/>
      <c r="I41" s="375"/>
      <c r="J41" s="375"/>
      <c r="K41" s="375"/>
      <c r="L41" s="375"/>
      <c r="M41" s="375"/>
      <c r="N41" s="376"/>
    </row>
    <row r="42" spans="1:14" ht="47.25" customHeight="1">
      <c r="A42" s="6">
        <v>15</v>
      </c>
      <c r="B42" s="163" t="str">
        <f>IF('0 AVAL'!B50 = "", "", '0 AVAL'!B50)</f>
        <v/>
      </c>
      <c r="C42" s="163" t="str">
        <f>IF('0 AVAL'!C50 = "", "", '0 AVAL'!C50)</f>
        <v/>
      </c>
      <c r="D42" s="145"/>
      <c r="E42" s="374"/>
      <c r="F42" s="375"/>
      <c r="G42" s="375"/>
      <c r="H42" s="375"/>
      <c r="I42" s="375"/>
      <c r="J42" s="375"/>
      <c r="K42" s="375"/>
      <c r="L42" s="375"/>
      <c r="M42" s="375"/>
      <c r="N42" s="376"/>
    </row>
    <row r="43" spans="1:14" ht="47.25" customHeight="1">
      <c r="A43" s="6">
        <v>16</v>
      </c>
      <c r="B43" s="163" t="str">
        <f>IF('0 AVAL'!B51 = "", "", '0 AVAL'!B51)</f>
        <v/>
      </c>
      <c r="C43" s="163" t="str">
        <f>IF('0 AVAL'!C51 = "", "", '0 AVAL'!C51)</f>
        <v/>
      </c>
      <c r="D43" s="145"/>
      <c r="E43" s="374"/>
      <c r="F43" s="375"/>
      <c r="G43" s="375"/>
      <c r="H43" s="375"/>
      <c r="I43" s="375"/>
      <c r="J43" s="375"/>
      <c r="K43" s="375"/>
      <c r="L43" s="375"/>
      <c r="M43" s="375"/>
      <c r="N43" s="376"/>
    </row>
    <row r="44" spans="1:14" ht="47.25" customHeight="1">
      <c r="A44" s="6">
        <v>17</v>
      </c>
      <c r="B44" s="163" t="str">
        <f>IF('0 AVAL'!B52 = "", "", '0 AVAL'!B52)</f>
        <v/>
      </c>
      <c r="C44" s="163" t="str">
        <f>IF('0 AVAL'!C52 = "", "", '0 AVAL'!C52)</f>
        <v/>
      </c>
      <c r="D44" s="145"/>
      <c r="E44" s="374"/>
      <c r="F44" s="375"/>
      <c r="G44" s="375"/>
      <c r="H44" s="375"/>
      <c r="I44" s="375"/>
      <c r="J44" s="375"/>
      <c r="K44" s="375"/>
      <c r="L44" s="375"/>
      <c r="M44" s="375"/>
      <c r="N44" s="376"/>
    </row>
    <row r="45" spans="1:14" ht="47.25" customHeight="1">
      <c r="A45" s="6">
        <v>18</v>
      </c>
      <c r="B45" s="163" t="str">
        <f>IF('0 AVAL'!B53 = "", "", '0 AVAL'!B53)</f>
        <v/>
      </c>
      <c r="C45" s="163" t="str">
        <f>IF('0 AVAL'!C53 = "", "", '0 AVAL'!C53)</f>
        <v/>
      </c>
      <c r="D45" s="145"/>
      <c r="E45" s="374"/>
      <c r="F45" s="375"/>
      <c r="G45" s="375"/>
      <c r="H45" s="375"/>
      <c r="I45" s="375"/>
      <c r="J45" s="375"/>
      <c r="K45" s="375"/>
      <c r="L45" s="375"/>
      <c r="M45" s="375"/>
      <c r="N45" s="376"/>
    </row>
    <row r="46" spans="1:14" ht="47.25" customHeight="1">
      <c r="A46" s="6">
        <v>19</v>
      </c>
      <c r="B46" s="163" t="str">
        <f>IF('0 AVAL'!B54 = "", "", '0 AVAL'!B54)</f>
        <v/>
      </c>
      <c r="C46" s="163" t="str">
        <f>IF('0 AVAL'!C54 = "", "", '0 AVAL'!C54)</f>
        <v/>
      </c>
      <c r="D46" s="145"/>
      <c r="E46" s="374"/>
      <c r="F46" s="375"/>
      <c r="G46" s="375"/>
      <c r="H46" s="375"/>
      <c r="I46" s="375"/>
      <c r="J46" s="375"/>
      <c r="K46" s="375"/>
      <c r="L46" s="375"/>
      <c r="M46" s="375"/>
      <c r="N46" s="376"/>
    </row>
    <row r="47" spans="1:14" ht="47.25" customHeight="1">
      <c r="A47" s="6">
        <v>20</v>
      </c>
      <c r="B47" s="163" t="str">
        <f>IF('0 AVAL'!B55 = "", "", '0 AVAL'!B55)</f>
        <v/>
      </c>
      <c r="C47" s="163" t="str">
        <f>IF('0 AVAL'!C55 = "", "", '0 AVAL'!C55)</f>
        <v/>
      </c>
      <c r="D47" s="145"/>
      <c r="E47" s="374"/>
      <c r="F47" s="375"/>
      <c r="G47" s="375"/>
      <c r="H47" s="375"/>
      <c r="I47" s="375"/>
      <c r="J47" s="375"/>
      <c r="K47" s="375"/>
      <c r="L47" s="375"/>
      <c r="M47" s="375"/>
      <c r="N47" s="376"/>
    </row>
    <row r="48" spans="1:14" ht="47.25" customHeight="1">
      <c r="A48" s="6">
        <v>21</v>
      </c>
      <c r="B48" s="163" t="str">
        <f>IF('0 AVAL'!B56 = "", "", '0 AVAL'!B56)</f>
        <v/>
      </c>
      <c r="C48" s="163" t="str">
        <f>IF('0 AVAL'!C56 = "", "", '0 AVAL'!C56)</f>
        <v/>
      </c>
      <c r="D48" s="145"/>
      <c r="E48" s="374"/>
      <c r="F48" s="375"/>
      <c r="G48" s="375"/>
      <c r="H48" s="375"/>
      <c r="I48" s="375"/>
      <c r="J48" s="375"/>
      <c r="K48" s="375"/>
      <c r="L48" s="375"/>
      <c r="M48" s="375"/>
      <c r="N48" s="376"/>
    </row>
    <row r="49" spans="1:14" ht="47.25" customHeight="1">
      <c r="A49" s="6">
        <v>22</v>
      </c>
      <c r="B49" s="163" t="str">
        <f>IF('0 AVAL'!B57 = "", "", '0 AVAL'!B57)</f>
        <v/>
      </c>
      <c r="C49" s="163" t="str">
        <f>IF('0 AVAL'!C57 = "", "", '0 AVAL'!C57)</f>
        <v/>
      </c>
      <c r="D49" s="145"/>
      <c r="E49" s="374"/>
      <c r="F49" s="375"/>
      <c r="G49" s="375"/>
      <c r="H49" s="375"/>
      <c r="I49" s="375"/>
      <c r="J49" s="375"/>
      <c r="K49" s="375"/>
      <c r="L49" s="375"/>
      <c r="M49" s="375"/>
      <c r="N49" s="376"/>
    </row>
    <row r="50" spans="1:14" ht="47.25" customHeight="1">
      <c r="A50" s="6">
        <v>23</v>
      </c>
      <c r="B50" s="163" t="str">
        <f>IF('0 AVAL'!B58 = "", "", '0 AVAL'!B58)</f>
        <v/>
      </c>
      <c r="C50" s="163" t="str">
        <f>IF('0 AVAL'!C58 = "", "", '0 AVAL'!C58)</f>
        <v/>
      </c>
      <c r="D50" s="145"/>
      <c r="E50" s="374"/>
      <c r="F50" s="375"/>
      <c r="G50" s="375"/>
      <c r="H50" s="375"/>
      <c r="I50" s="375"/>
      <c r="J50" s="375"/>
      <c r="K50" s="375"/>
      <c r="L50" s="375"/>
      <c r="M50" s="375"/>
      <c r="N50" s="376"/>
    </row>
    <row r="51" spans="1:14" ht="47.25" customHeight="1">
      <c r="A51" s="6">
        <v>24</v>
      </c>
      <c r="B51" s="163" t="str">
        <f>IF('0 AVAL'!B59 = "", "", '0 AVAL'!B59)</f>
        <v/>
      </c>
      <c r="C51" s="163" t="str">
        <f>IF('0 AVAL'!C59 = "", "", '0 AVAL'!C59)</f>
        <v/>
      </c>
      <c r="D51" s="145"/>
      <c r="E51" s="374"/>
      <c r="F51" s="375"/>
      <c r="G51" s="375"/>
      <c r="H51" s="375"/>
      <c r="I51" s="375"/>
      <c r="J51" s="375"/>
      <c r="K51" s="375"/>
      <c r="L51" s="375"/>
      <c r="M51" s="375"/>
      <c r="N51" s="376"/>
    </row>
    <row r="52" spans="1:14" ht="47.25" customHeight="1">
      <c r="A52" s="6">
        <v>25</v>
      </c>
      <c r="B52" s="163" t="str">
        <f>IF('0 AVAL'!B60 = "", "", '0 AVAL'!B60)</f>
        <v/>
      </c>
      <c r="C52" s="163" t="str">
        <f>IF('0 AVAL'!C60 = "", "", '0 AVAL'!C60)</f>
        <v/>
      </c>
      <c r="D52" s="145"/>
      <c r="E52" s="374"/>
      <c r="F52" s="375"/>
      <c r="G52" s="375"/>
      <c r="H52" s="375"/>
      <c r="I52" s="375"/>
      <c r="J52" s="375"/>
      <c r="K52" s="375"/>
      <c r="L52" s="375"/>
      <c r="M52" s="375"/>
      <c r="N52" s="376"/>
    </row>
    <row r="53" spans="1:14" ht="47.25" customHeight="1">
      <c r="A53" s="6">
        <v>26</v>
      </c>
      <c r="B53" s="163" t="str">
        <f>IF('0 AVAL'!B61 = "", "", '0 AVAL'!B61)</f>
        <v/>
      </c>
      <c r="C53" s="163" t="str">
        <f>IF('0 AVAL'!C61 = "", "", '0 AVAL'!C61)</f>
        <v/>
      </c>
      <c r="D53" s="145"/>
      <c r="E53" s="374"/>
      <c r="F53" s="375"/>
      <c r="G53" s="375"/>
      <c r="H53" s="375"/>
      <c r="I53" s="375"/>
      <c r="J53" s="375"/>
      <c r="K53" s="375"/>
      <c r="L53" s="375"/>
      <c r="M53" s="375"/>
      <c r="N53" s="376"/>
    </row>
    <row r="54" spans="1:14" ht="47.25" customHeight="1">
      <c r="A54" s="6">
        <v>27</v>
      </c>
      <c r="B54" s="163" t="str">
        <f>IF('0 AVAL'!B62 = "", "", '0 AVAL'!B62)</f>
        <v/>
      </c>
      <c r="C54" s="163" t="str">
        <f>IF('0 AVAL'!C62 = "", "", '0 AVAL'!C62)</f>
        <v/>
      </c>
      <c r="D54" s="145"/>
      <c r="E54" s="374"/>
      <c r="F54" s="375"/>
      <c r="G54" s="375"/>
      <c r="H54" s="375"/>
      <c r="I54" s="375"/>
      <c r="J54" s="375"/>
      <c r="K54" s="375"/>
      <c r="L54" s="375"/>
      <c r="M54" s="375"/>
      <c r="N54" s="376"/>
    </row>
    <row r="55" spans="1:14" ht="47.25" customHeight="1">
      <c r="A55" s="6">
        <v>28</v>
      </c>
      <c r="B55" s="163" t="str">
        <f>IF('0 AVAL'!B63 = "", "", '0 AVAL'!B63)</f>
        <v/>
      </c>
      <c r="C55" s="163" t="str">
        <f>IF('0 AVAL'!C63 = "", "", '0 AVAL'!C63)</f>
        <v/>
      </c>
      <c r="D55" s="145"/>
      <c r="E55" s="374"/>
      <c r="F55" s="375"/>
      <c r="G55" s="375"/>
      <c r="H55" s="375"/>
      <c r="I55" s="375"/>
      <c r="J55" s="375"/>
      <c r="K55" s="375"/>
      <c r="L55" s="375"/>
      <c r="M55" s="375"/>
      <c r="N55" s="376"/>
    </row>
    <row r="56" spans="1:14" ht="47.25" customHeight="1">
      <c r="A56" s="6">
        <v>29</v>
      </c>
      <c r="B56" s="163" t="str">
        <f>IF('0 AVAL'!B64 = "", "", '0 AVAL'!B64)</f>
        <v/>
      </c>
      <c r="C56" s="163" t="str">
        <f>IF('0 AVAL'!C64 = "", "", '0 AVAL'!C64)</f>
        <v/>
      </c>
      <c r="D56" s="145"/>
      <c r="E56" s="374"/>
      <c r="F56" s="375"/>
      <c r="G56" s="375"/>
      <c r="H56" s="375"/>
      <c r="I56" s="375"/>
      <c r="J56" s="375"/>
      <c r="K56" s="375"/>
      <c r="L56" s="375"/>
      <c r="M56" s="375"/>
      <c r="N56" s="376"/>
    </row>
    <row r="57" spans="1:14" ht="47.25" customHeight="1">
      <c r="A57" s="6">
        <v>30</v>
      </c>
      <c r="B57" s="163" t="str">
        <f>IF('0 AVAL'!B65 = "", "", '0 AVAL'!B65)</f>
        <v/>
      </c>
      <c r="C57" s="163" t="str">
        <f>IF('0 AVAL'!C65 = "", "", '0 AVAL'!C65)</f>
        <v/>
      </c>
      <c r="D57" s="145"/>
      <c r="E57" s="374"/>
      <c r="F57" s="375"/>
      <c r="G57" s="375"/>
      <c r="H57" s="375"/>
      <c r="I57" s="375"/>
      <c r="J57" s="375"/>
      <c r="K57" s="375"/>
      <c r="L57" s="375"/>
      <c r="M57" s="375"/>
      <c r="N57" s="376"/>
    </row>
    <row r="58" spans="1:14" ht="47.25" customHeight="1">
      <c r="A58" s="6">
        <v>31</v>
      </c>
      <c r="B58" s="163" t="str">
        <f>IF('0 AVAL'!B66 = "", "", '0 AVAL'!B66)</f>
        <v/>
      </c>
      <c r="C58" s="163" t="str">
        <f>IF('0 AVAL'!C66 = "", "", '0 AVAL'!C66)</f>
        <v/>
      </c>
      <c r="D58" s="145"/>
      <c r="E58" s="181"/>
      <c r="F58" s="182"/>
      <c r="G58" s="182"/>
      <c r="H58" s="182"/>
      <c r="I58" s="182"/>
      <c r="J58" s="182"/>
      <c r="K58" s="182"/>
      <c r="L58" s="182"/>
      <c r="M58" s="182"/>
      <c r="N58" s="183"/>
    </row>
    <row r="59" spans="1:14" ht="47.25" customHeight="1">
      <c r="A59" s="6">
        <v>32</v>
      </c>
      <c r="B59" s="163" t="str">
        <f>IF('0 AVAL'!B67 = "", "", '0 AVAL'!B67)</f>
        <v/>
      </c>
      <c r="C59" s="163" t="str">
        <f>IF('0 AVAL'!C67 = "", "", '0 AVAL'!C67)</f>
        <v/>
      </c>
      <c r="D59" s="145"/>
      <c r="E59" s="181"/>
      <c r="F59" s="182"/>
      <c r="G59" s="182"/>
      <c r="H59" s="182"/>
      <c r="I59" s="182"/>
      <c r="J59" s="182"/>
      <c r="K59" s="182"/>
      <c r="L59" s="182"/>
      <c r="M59" s="182"/>
      <c r="N59" s="183"/>
    </row>
    <row r="60" spans="1:14" ht="47.25" customHeight="1">
      <c r="A60" s="6">
        <v>33</v>
      </c>
      <c r="B60" s="163" t="str">
        <f>IF('0 AVAL'!B68 = "", "", '0 AVAL'!B68)</f>
        <v/>
      </c>
      <c r="C60" s="163" t="str">
        <f>IF('0 AVAL'!C68 = "", "", '0 AVAL'!C68)</f>
        <v/>
      </c>
      <c r="D60" s="145"/>
      <c r="E60" s="181"/>
      <c r="F60" s="182"/>
      <c r="G60" s="182"/>
      <c r="H60" s="182"/>
      <c r="I60" s="182"/>
      <c r="J60" s="182"/>
      <c r="K60" s="182"/>
      <c r="L60" s="182"/>
      <c r="M60" s="182"/>
      <c r="N60" s="183"/>
    </row>
    <row r="61" spans="1:14" ht="47.25" customHeight="1">
      <c r="A61" s="6">
        <v>34</v>
      </c>
      <c r="B61" s="163" t="str">
        <f>IF('0 AVAL'!B69 = "", "", '0 AVAL'!B69)</f>
        <v/>
      </c>
      <c r="C61" s="163" t="str">
        <f>IF('0 AVAL'!C69 = "", "", '0 AVAL'!C69)</f>
        <v/>
      </c>
      <c r="D61" s="145"/>
      <c r="E61" s="181"/>
      <c r="F61" s="182"/>
      <c r="G61" s="182"/>
      <c r="H61" s="182"/>
      <c r="I61" s="182"/>
      <c r="J61" s="182"/>
      <c r="K61" s="182"/>
      <c r="L61" s="182"/>
      <c r="M61" s="182"/>
      <c r="N61" s="183"/>
    </row>
    <row r="62" spans="1:14" ht="47.25" customHeight="1">
      <c r="A62" s="6">
        <v>35</v>
      </c>
      <c r="B62" s="163" t="str">
        <f>IF('0 AVAL'!B70 = "", "", '0 AVAL'!B70)</f>
        <v/>
      </c>
      <c r="C62" s="163" t="str">
        <f>IF('0 AVAL'!C70 = "", "", '0 AVAL'!C70)</f>
        <v/>
      </c>
      <c r="D62" s="145"/>
      <c r="E62" s="181"/>
      <c r="F62" s="182"/>
      <c r="G62" s="182"/>
      <c r="H62" s="182"/>
      <c r="I62" s="182"/>
      <c r="J62" s="182"/>
      <c r="K62" s="182"/>
      <c r="L62" s="182"/>
      <c r="M62" s="182"/>
      <c r="N62" s="183"/>
    </row>
    <row r="63" spans="1:14" ht="47.25" customHeight="1">
      <c r="A63" s="6">
        <v>36</v>
      </c>
      <c r="B63" s="163" t="str">
        <f>IF('0 AVAL'!B71 = "", "", '0 AVAL'!B71)</f>
        <v/>
      </c>
      <c r="C63" s="163" t="str">
        <f>IF('0 AVAL'!C71 = "", "", '0 AVAL'!C71)</f>
        <v/>
      </c>
      <c r="D63" s="145"/>
      <c r="E63" s="374"/>
      <c r="F63" s="375"/>
      <c r="G63" s="375"/>
      <c r="H63" s="375"/>
      <c r="I63" s="375"/>
      <c r="J63" s="375"/>
      <c r="K63" s="375"/>
      <c r="L63" s="375"/>
      <c r="M63" s="375"/>
      <c r="N63" s="376"/>
    </row>
    <row r="64" spans="1:14" ht="47.25" customHeight="1">
      <c r="A64" s="6">
        <v>37</v>
      </c>
      <c r="B64" s="163" t="str">
        <f>IF('0 AVAL'!B72 = "", "", '0 AVAL'!B72)</f>
        <v/>
      </c>
      <c r="C64" s="163" t="str">
        <f>IF('0 AVAL'!C72 = "", "", '0 AVAL'!C72)</f>
        <v/>
      </c>
      <c r="D64" s="145"/>
      <c r="E64" s="374"/>
      <c r="F64" s="375"/>
      <c r="G64" s="375"/>
      <c r="H64" s="375"/>
      <c r="I64" s="375"/>
      <c r="J64" s="375"/>
      <c r="K64" s="375"/>
      <c r="L64" s="375"/>
      <c r="M64" s="375"/>
      <c r="N64" s="376"/>
    </row>
    <row r="65" spans="1:14" ht="47.25" customHeight="1">
      <c r="A65" s="6">
        <v>38</v>
      </c>
      <c r="B65" s="163" t="str">
        <f>IF('0 AVAL'!B73 = "", "", '0 AVAL'!B73)</f>
        <v/>
      </c>
      <c r="C65" s="163" t="str">
        <f>IF('0 AVAL'!C73 = "", "", '0 AVAL'!C73)</f>
        <v/>
      </c>
      <c r="D65" s="145"/>
      <c r="E65" s="374"/>
      <c r="F65" s="375"/>
      <c r="G65" s="375"/>
      <c r="H65" s="375"/>
      <c r="I65" s="375"/>
      <c r="J65" s="375"/>
      <c r="K65" s="375"/>
      <c r="L65" s="375"/>
      <c r="M65" s="375"/>
      <c r="N65" s="376"/>
    </row>
    <row r="66" spans="1:14" ht="47.25" customHeight="1">
      <c r="A66" s="6">
        <v>39</v>
      </c>
      <c r="B66" s="163" t="str">
        <f>IF('0 AVAL'!B74 = "", "", '0 AVAL'!B74)</f>
        <v/>
      </c>
      <c r="C66" s="163" t="str">
        <f>IF('0 AVAL'!C74 = "", "", '0 AVAL'!C74)</f>
        <v/>
      </c>
      <c r="D66" s="145"/>
      <c r="E66" s="374"/>
      <c r="F66" s="375"/>
      <c r="G66" s="375"/>
      <c r="H66" s="375"/>
      <c r="I66" s="375"/>
      <c r="J66" s="375"/>
      <c r="K66" s="375"/>
      <c r="L66" s="375"/>
      <c r="M66" s="375"/>
      <c r="N66" s="376"/>
    </row>
    <row r="67" spans="1:14" ht="54" customHeight="1">
      <c r="A67" s="6">
        <v>40</v>
      </c>
      <c r="B67" s="163" t="str">
        <f>IF('0 AVAL'!B75 = "", "", '0 AVAL'!B75)</f>
        <v/>
      </c>
      <c r="C67" s="163" t="str">
        <f>IF('0 AVAL'!C75 = "", "", '0 AVAL'!C75)</f>
        <v/>
      </c>
      <c r="D67" s="145"/>
      <c r="E67" s="374"/>
      <c r="F67" s="375"/>
      <c r="G67" s="375"/>
      <c r="H67" s="375"/>
      <c r="I67" s="375"/>
      <c r="J67" s="375"/>
      <c r="K67" s="375"/>
      <c r="L67" s="375"/>
      <c r="M67" s="375"/>
      <c r="N67" s="376"/>
    </row>
    <row r="68" spans="1:14" ht="21.75" customHeight="1" thickBot="1"/>
    <row r="69" spans="1:14" s="37" customFormat="1" ht="54" customHeight="1" thickBot="1">
      <c r="B69" s="380" t="s">
        <v>152</v>
      </c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2"/>
    </row>
    <row r="70" spans="1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s="29" customFormat="1" ht="34.5" customHeight="1">
      <c r="A71" s="129">
        <v>1</v>
      </c>
      <c r="B71" s="281"/>
      <c r="C71" s="281"/>
      <c r="D71" s="281"/>
      <c r="E71" s="281"/>
      <c r="F71" s="281"/>
      <c r="G71" s="281"/>
      <c r="H71" s="281"/>
      <c r="I71" s="281"/>
      <c r="J71" s="287" t="s">
        <v>70</v>
      </c>
      <c r="K71" s="288"/>
      <c r="L71" s="288"/>
      <c r="M71" s="288"/>
      <c r="N71" s="289"/>
    </row>
    <row r="72" spans="1:14" s="29" customFormat="1" ht="34.5" customHeight="1">
      <c r="A72" s="129">
        <v>2</v>
      </c>
      <c r="B72" s="325"/>
      <c r="C72" s="325"/>
      <c r="D72" s="325"/>
      <c r="E72" s="325"/>
      <c r="F72" s="325"/>
      <c r="G72" s="325"/>
      <c r="H72" s="325"/>
      <c r="I72" s="325"/>
      <c r="J72" s="290"/>
      <c r="K72" s="291"/>
      <c r="L72" s="291"/>
      <c r="M72" s="291"/>
      <c r="N72" s="292"/>
    </row>
    <row r="73" spans="1:14" s="29" customFormat="1" ht="34.5" customHeight="1">
      <c r="A73" s="129">
        <v>3</v>
      </c>
      <c r="B73" s="325"/>
      <c r="C73" s="325"/>
      <c r="D73" s="325"/>
      <c r="E73" s="325"/>
      <c r="F73" s="325"/>
      <c r="G73" s="325"/>
      <c r="H73" s="325"/>
      <c r="I73" s="325"/>
      <c r="J73" s="290"/>
      <c r="K73" s="291"/>
      <c r="L73" s="291"/>
      <c r="M73" s="291"/>
      <c r="N73" s="292"/>
    </row>
    <row r="74" spans="1:14" s="29" customFormat="1" ht="34.5" customHeight="1">
      <c r="A74" s="129">
        <v>4</v>
      </c>
      <c r="B74" s="325"/>
      <c r="C74" s="325"/>
      <c r="D74" s="325"/>
      <c r="E74" s="325"/>
      <c r="F74" s="325"/>
      <c r="G74" s="325"/>
      <c r="H74" s="325"/>
      <c r="I74" s="325"/>
      <c r="J74" s="290"/>
      <c r="K74" s="291"/>
      <c r="L74" s="291"/>
      <c r="M74" s="291"/>
      <c r="N74" s="292"/>
    </row>
    <row r="75" spans="1:14" s="29" customFormat="1" ht="34.5" customHeight="1">
      <c r="A75" s="129">
        <v>5</v>
      </c>
      <c r="B75" s="325"/>
      <c r="C75" s="325"/>
      <c r="D75" s="325"/>
      <c r="E75" s="325"/>
      <c r="F75" s="325"/>
      <c r="G75" s="325"/>
      <c r="H75" s="325"/>
      <c r="I75" s="325"/>
      <c r="J75" s="290"/>
      <c r="K75" s="291"/>
      <c r="L75" s="291"/>
      <c r="M75" s="291"/>
      <c r="N75" s="292"/>
    </row>
    <row r="76" spans="1:14" s="29" customFormat="1" ht="34.5" customHeight="1">
      <c r="A76" s="129">
        <v>6</v>
      </c>
      <c r="B76" s="325"/>
      <c r="C76" s="325"/>
      <c r="D76" s="325"/>
      <c r="E76" s="325"/>
      <c r="F76" s="325"/>
      <c r="G76" s="325"/>
      <c r="H76" s="325"/>
      <c r="I76" s="325"/>
      <c r="J76" s="290"/>
      <c r="K76" s="291"/>
      <c r="L76" s="291"/>
      <c r="M76" s="291"/>
      <c r="N76" s="292"/>
    </row>
    <row r="77" spans="1:14" s="29" customFormat="1" ht="34.5" customHeight="1" thickBot="1">
      <c r="A77" s="129">
        <v>7</v>
      </c>
      <c r="B77" s="319"/>
      <c r="C77" s="319"/>
      <c r="D77" s="319"/>
      <c r="E77" s="319"/>
      <c r="F77" s="319"/>
      <c r="G77" s="319"/>
      <c r="H77" s="319"/>
      <c r="I77" s="319"/>
      <c r="J77" s="293"/>
      <c r="K77" s="294"/>
      <c r="L77" s="294"/>
      <c r="M77" s="294"/>
      <c r="N77" s="295"/>
    </row>
    <row r="78" spans="1:14">
      <c r="B78" s="282" t="s">
        <v>71</v>
      </c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</row>
    <row r="79" spans="1:14" ht="15.6" customHeight="1"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</row>
  </sheetData>
  <mergeCells count="66">
    <mergeCell ref="B78:N79"/>
    <mergeCell ref="B71:I71"/>
    <mergeCell ref="J71:N77"/>
    <mergeCell ref="B72:I72"/>
    <mergeCell ref="B73:I73"/>
    <mergeCell ref="B74:I74"/>
    <mergeCell ref="B75:I75"/>
    <mergeCell ref="B76:I76"/>
    <mergeCell ref="B77:I77"/>
    <mergeCell ref="B69:N69"/>
    <mergeCell ref="E52:N52"/>
    <mergeCell ref="E53:N53"/>
    <mergeCell ref="E54:N54"/>
    <mergeCell ref="E55:N55"/>
    <mergeCell ref="E56:N56"/>
    <mergeCell ref="E57:N57"/>
    <mergeCell ref="E63:N63"/>
    <mergeCell ref="E64:N64"/>
    <mergeCell ref="E65:N65"/>
    <mergeCell ref="E66:N66"/>
    <mergeCell ref="E67:N67"/>
    <mergeCell ref="E51:N51"/>
    <mergeCell ref="E40:N40"/>
    <mergeCell ref="E41:N41"/>
    <mergeCell ref="E42:N42"/>
    <mergeCell ref="E43:N43"/>
    <mergeCell ref="E44:N44"/>
    <mergeCell ref="E45:N45"/>
    <mergeCell ref="E46:N46"/>
    <mergeCell ref="E47:N47"/>
    <mergeCell ref="E48:N48"/>
    <mergeCell ref="E49:N49"/>
    <mergeCell ref="E50:N50"/>
    <mergeCell ref="E39:N39"/>
    <mergeCell ref="E28:N28"/>
    <mergeCell ref="E29:N29"/>
    <mergeCell ref="E30:N30"/>
    <mergeCell ref="E31:N31"/>
    <mergeCell ref="E32:N32"/>
    <mergeCell ref="E33:N33"/>
    <mergeCell ref="E34:N34"/>
    <mergeCell ref="E35:N35"/>
    <mergeCell ref="E36:N36"/>
    <mergeCell ref="E37:N37"/>
    <mergeCell ref="E38:N38"/>
    <mergeCell ref="E27:N27"/>
    <mergeCell ref="J7:M7"/>
    <mergeCell ref="B9:N9"/>
    <mergeCell ref="B11:M11"/>
    <mergeCell ref="N11:Y11"/>
    <mergeCell ref="B12:N12"/>
    <mergeCell ref="B14:M14"/>
    <mergeCell ref="N14:Y14"/>
    <mergeCell ref="B15:N15"/>
    <mergeCell ref="B18:N18"/>
    <mergeCell ref="B20:N20"/>
    <mergeCell ref="B22:N23"/>
    <mergeCell ref="B25:N25"/>
    <mergeCell ref="B2:C6"/>
    <mergeCell ref="D2:F6"/>
    <mergeCell ref="G2:G6"/>
    <mergeCell ref="J2:N2"/>
    <mergeCell ref="J3:M3"/>
    <mergeCell ref="J4:M4"/>
    <mergeCell ref="J5:M5"/>
    <mergeCell ref="J6:M6"/>
  </mergeCells>
  <dataValidations count="1">
    <dataValidation type="date" allowBlank="1" showInputMessage="1" showErrorMessage="1" sqref="J7:M7" xr:uid="{B679AB65-496E-407C-9FF6-40E7FD2AD110}">
      <formula1>45170</formula1>
      <formula2>47664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INDEX</vt:lpstr>
      <vt:lpstr>ACORDS</vt:lpstr>
      <vt:lpstr>0 AVAL</vt:lpstr>
      <vt:lpstr>1a PARCIAL</vt:lpstr>
      <vt:lpstr>2a PARCIAL</vt:lpstr>
      <vt:lpstr>FE</vt:lpstr>
      <vt:lpstr>PI</vt:lpstr>
      <vt:lpstr>FINAL</vt:lpstr>
      <vt:lpstr>EXTRAORD</vt:lpstr>
      <vt:lpstr>ED01</vt:lpstr>
      <vt:lpstr>ED02</vt:lpstr>
      <vt:lpstr>ED03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Qiwei Liu</dc:creator>
  <cp:lastModifiedBy>Qiwei Liu</cp:lastModifiedBy>
  <dcterms:created xsi:type="dcterms:W3CDTF">2015-06-05T18:19:34Z</dcterms:created>
  <dcterms:modified xsi:type="dcterms:W3CDTF">2026-01-30T09:00:42Z</dcterms:modified>
</cp:coreProperties>
</file>