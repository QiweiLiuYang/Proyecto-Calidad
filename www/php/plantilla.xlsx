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LTrades\OneDrive\Documentos\2do DAW\Proyecto-Calidad\www\php\"/>
    </mc:Choice>
  </mc:AlternateContent>
  <xr:revisionPtr revIDLastSave="0" documentId="13_ncr:1_{24388E3C-87C0-4D13-968D-8FD1C4C5EA9E}" xr6:coauthVersionLast="47" xr6:coauthVersionMax="47" xr10:uidLastSave="{00000000-0000-0000-0000-000000000000}"/>
  <bookViews>
    <workbookView xWindow="7635" yWindow="5670" windowWidth="28800" windowHeight="15105" activeTab="1" xr2:uid="{00000000-000D-0000-FFFF-FFFF00000000}"/>
  </bookViews>
  <sheets>
    <sheet name="ACORDS" sheetId="2" r:id="rId1"/>
    <sheet name="0 AVAL" sheetId="3" r:id="rId2"/>
    <sheet name="1a PARCIAL" sheetId="4" r:id="rId3"/>
    <sheet name="2a PARCIAL" sheetId="5" r:id="rId4"/>
    <sheet name="FE" sheetId="6" r:id="rId5"/>
    <sheet name="PI" sheetId="7" r:id="rId6"/>
    <sheet name="FINAL" sheetId="8" r:id="rId7"/>
    <sheet name="EXTRAORD" sheetId="9" r:id="rId8"/>
    <sheet name="ED01" sheetId="10" r:id="rId9"/>
    <sheet name="ED02" sheetId="11" r:id="rId10"/>
    <sheet name="ED03" sheetId="12" r:id="rId11"/>
    <sheet name="ficha_alum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C29" i="11" s="1"/>
  <c r="C38" i="3"/>
  <c r="C39" i="3"/>
  <c r="C40" i="3"/>
  <c r="C41" i="3"/>
  <c r="C33" i="10" s="1"/>
  <c r="C42" i="3"/>
  <c r="C34" i="10" s="1"/>
  <c r="C43" i="3"/>
  <c r="C35" i="10" s="1"/>
  <c r="C44" i="3"/>
  <c r="C36" i="10" s="1"/>
  <c r="C45" i="3"/>
  <c r="C37" i="10" s="1"/>
  <c r="C46" i="3"/>
  <c r="C38" i="10" s="1"/>
  <c r="C47" i="3"/>
  <c r="C39" i="10" s="1"/>
  <c r="C48" i="3"/>
  <c r="C40" i="10" s="1"/>
  <c r="C49" i="3"/>
  <c r="C41" i="10" s="1"/>
  <c r="C50" i="3"/>
  <c r="C42" i="10" s="1"/>
  <c r="C51" i="3"/>
  <c r="C43" i="10" s="1"/>
  <c r="C52" i="3"/>
  <c r="C44" i="10" s="1"/>
  <c r="C53" i="3"/>
  <c r="C45" i="10" s="1"/>
  <c r="C54" i="3"/>
  <c r="C46" i="10" s="1"/>
  <c r="C55" i="3"/>
  <c r="C47" i="10" s="1"/>
  <c r="C56" i="3"/>
  <c r="C48" i="10" s="1"/>
  <c r="C57" i="3"/>
  <c r="C58" i="3"/>
  <c r="C59" i="3"/>
  <c r="C60" i="3"/>
  <c r="C61" i="3"/>
  <c r="C38" i="7" s="1"/>
  <c r="C62" i="3"/>
  <c r="C39" i="7" s="1"/>
  <c r="C63" i="3"/>
  <c r="C40" i="7" s="1"/>
  <c r="C64" i="3"/>
  <c r="C41" i="7" s="1"/>
  <c r="C65" i="3"/>
  <c r="C42" i="7" s="1"/>
  <c r="C66" i="3"/>
  <c r="C43" i="7" s="1"/>
  <c r="C67" i="3"/>
  <c r="C44" i="7" s="1"/>
  <c r="C68" i="3"/>
  <c r="C45" i="7" s="1"/>
  <c r="C69" i="3"/>
  <c r="C46" i="7" s="1"/>
  <c r="C70" i="3"/>
  <c r="C47" i="7" s="1"/>
  <c r="C71" i="3"/>
  <c r="C48" i="7" s="1"/>
  <c r="C72" i="3"/>
  <c r="C49" i="7" s="1"/>
  <c r="C73" i="3"/>
  <c r="C74" i="3"/>
  <c r="C75" i="3"/>
  <c r="C36" i="3"/>
  <c r="C29" i="12"/>
  <c r="C30" i="12"/>
  <c r="C31" i="12"/>
  <c r="C32" i="12"/>
  <c r="C52" i="11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36" i="3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B37" i="3"/>
  <c r="B29" i="12" s="1"/>
  <c r="B38" i="3"/>
  <c r="B30" i="12" s="1"/>
  <c r="B39" i="3"/>
  <c r="B31" i="12" s="1"/>
  <c r="B40" i="3"/>
  <c r="B32" i="12" s="1"/>
  <c r="B41" i="3"/>
  <c r="B33" i="12" s="1"/>
  <c r="B42" i="3"/>
  <c r="B34" i="12" s="1"/>
  <c r="B43" i="3"/>
  <c r="B35" i="12" s="1"/>
  <c r="B44" i="3"/>
  <c r="B45" i="3"/>
  <c r="B46" i="3"/>
  <c r="B47" i="3"/>
  <c r="B48" i="3"/>
  <c r="B49" i="3"/>
  <c r="B50" i="3"/>
  <c r="B51" i="3"/>
  <c r="B52" i="3"/>
  <c r="B53" i="3"/>
  <c r="B54" i="3"/>
  <c r="B46" i="11" s="1"/>
  <c r="B55" i="3"/>
  <c r="B47" i="11" s="1"/>
  <c r="B56" i="3"/>
  <c r="B48" i="11" s="1"/>
  <c r="B57" i="3"/>
  <c r="B49" i="11" s="1"/>
  <c r="B58" i="3"/>
  <c r="B50" i="11" s="1"/>
  <c r="B59" i="3"/>
  <c r="B51" i="11" s="1"/>
  <c r="B60" i="3"/>
  <c r="B52" i="11" s="1"/>
  <c r="B61" i="3"/>
  <c r="B53" i="11" s="1"/>
  <c r="B62" i="3"/>
  <c r="B54" i="11" s="1"/>
  <c r="B63" i="3"/>
  <c r="B55" i="11" s="1"/>
  <c r="B64" i="3"/>
  <c r="B56" i="11" s="1"/>
  <c r="B65" i="3"/>
  <c r="B57" i="11" s="1"/>
  <c r="B66" i="3"/>
  <c r="B58" i="11" s="1"/>
  <c r="B67" i="3"/>
  <c r="B59" i="11" s="1"/>
  <c r="B68" i="3"/>
  <c r="B60" i="11" s="1"/>
  <c r="B69" i="3"/>
  <c r="B61" i="11" s="1"/>
  <c r="B70" i="3"/>
  <c r="B62" i="11" s="1"/>
  <c r="B71" i="3"/>
  <c r="B63" i="11" s="1"/>
  <c r="B72" i="3"/>
  <c r="B73" i="3"/>
  <c r="B74" i="3"/>
  <c r="B75" i="3"/>
  <c r="B36" i="3"/>
  <c r="J4" i="12"/>
  <c r="J5" i="12"/>
  <c r="J6" i="12"/>
  <c r="J3" i="12"/>
  <c r="J4" i="11"/>
  <c r="J5" i="11"/>
  <c r="J6" i="11"/>
  <c r="J3" i="11"/>
  <c r="J4" i="10"/>
  <c r="J5" i="10"/>
  <c r="J6" i="10"/>
  <c r="J3" i="10"/>
  <c r="J4" i="9"/>
  <c r="J5" i="9"/>
  <c r="J3" i="9"/>
  <c r="J4" i="8"/>
  <c r="J5" i="8"/>
  <c r="K4" i="7"/>
  <c r="K5" i="7"/>
  <c r="K6" i="7"/>
  <c r="L4" i="6"/>
  <c r="L5" i="6"/>
  <c r="J4" i="5"/>
  <c r="J5" i="5"/>
  <c r="J4" i="4"/>
  <c r="J5" i="4"/>
  <c r="J4" i="3"/>
  <c r="J5" i="3"/>
  <c r="J4" i="2"/>
  <c r="J5" i="2"/>
  <c r="J3" i="8"/>
  <c r="K3" i="7"/>
  <c r="L3" i="6"/>
  <c r="J3" i="5"/>
  <c r="J3" i="4"/>
  <c r="J3" i="3"/>
  <c r="J3" i="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35" i="11"/>
  <c r="B34" i="11"/>
  <c r="B33" i="11"/>
  <c r="B32" i="11"/>
  <c r="B31" i="11"/>
  <c r="B30" i="11"/>
  <c r="B29" i="11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C29" i="10"/>
  <c r="B29" i="10"/>
  <c r="B83" i="9"/>
  <c r="B82" i="9"/>
  <c r="B81" i="9"/>
  <c r="B80" i="9"/>
  <c r="B79" i="9"/>
  <c r="B78" i="9"/>
  <c r="B77" i="9"/>
  <c r="B63" i="9"/>
  <c r="B62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D13" i="9"/>
  <c r="N12" i="9"/>
  <c r="L12" i="9"/>
  <c r="B98" i="8"/>
  <c r="B97" i="8"/>
  <c r="B96" i="8"/>
  <c r="B95" i="8"/>
  <c r="B94" i="8"/>
  <c r="B93" i="8"/>
  <c r="B92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N33" i="8"/>
  <c r="N31" i="8"/>
  <c r="N30" i="8"/>
  <c r="N29" i="8"/>
  <c r="N28" i="8"/>
  <c r="D28" i="8"/>
  <c r="N27" i="8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B98" i="5"/>
  <c r="B97" i="5"/>
  <c r="B96" i="5"/>
  <c r="B95" i="5"/>
  <c r="B94" i="5"/>
  <c r="B93" i="5"/>
  <c r="B92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D27" i="5"/>
  <c r="B95" i="4"/>
  <c r="B94" i="4"/>
  <c r="B93" i="4"/>
  <c r="B92" i="4"/>
  <c r="B91" i="4"/>
  <c r="B90" i="4"/>
  <c r="B89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D27" i="4"/>
  <c r="B85" i="3"/>
  <c r="B84" i="3"/>
  <c r="B83" i="3"/>
  <c r="B82" i="3"/>
  <c r="B81" i="3"/>
  <c r="B80" i="3"/>
  <c r="B79" i="3"/>
  <c r="O27" i="3"/>
  <c r="C30" i="11" l="1"/>
  <c r="C30" i="10"/>
  <c r="C31" i="11"/>
  <c r="C31" i="10"/>
  <c r="C32" i="11"/>
  <c r="C32" i="10"/>
  <c r="C49" i="10"/>
  <c r="C34" i="7"/>
  <c r="C50" i="10"/>
  <c r="C35" i="7"/>
  <c r="C51" i="10"/>
  <c r="C36" i="7"/>
  <c r="C52" i="10"/>
  <c r="C37" i="7"/>
  <c r="C61" i="9"/>
  <c r="C50" i="7"/>
  <c r="C62" i="9"/>
  <c r="C51" i="7"/>
  <c r="C63" i="9"/>
  <c r="C52" i="7"/>
  <c r="C33" i="12"/>
  <c r="C33" i="11"/>
  <c r="C34" i="12"/>
  <c r="C34" i="11"/>
  <c r="C35" i="12"/>
  <c r="C35" i="11"/>
  <c r="C36" i="12"/>
  <c r="C36" i="11"/>
  <c r="C37" i="12"/>
  <c r="C37" i="11"/>
  <c r="C38" i="12"/>
  <c r="C38" i="11"/>
  <c r="C39" i="12"/>
  <c r="C39" i="11"/>
  <c r="C40" i="11"/>
  <c r="C40" i="12"/>
  <c r="C41" i="11"/>
  <c r="C41" i="12"/>
  <c r="C42" i="11"/>
  <c r="C42" i="12"/>
  <c r="C43" i="11"/>
  <c r="C43" i="12"/>
  <c r="C44" i="12"/>
  <c r="C44" i="11"/>
  <c r="C45" i="12"/>
  <c r="C45" i="11"/>
  <c r="C46" i="11"/>
  <c r="C46" i="12"/>
  <c r="C47" i="12"/>
  <c r="C47" i="11"/>
  <c r="C48" i="12"/>
  <c r="C48" i="11"/>
  <c r="C49" i="12"/>
  <c r="C49" i="11"/>
  <c r="C50" i="12"/>
  <c r="C50" i="11"/>
  <c r="C51" i="12"/>
  <c r="C51" i="11"/>
  <c r="C53" i="11"/>
  <c r="C53" i="10"/>
  <c r="C54" i="11"/>
  <c r="C54" i="10"/>
  <c r="C55" i="11"/>
  <c r="C55" i="10"/>
  <c r="C56" i="11"/>
  <c r="C56" i="10"/>
  <c r="C57" i="11"/>
  <c r="C57" i="10"/>
  <c r="C58" i="11"/>
  <c r="C58" i="10"/>
  <c r="C59" i="11"/>
  <c r="C59" i="10"/>
  <c r="C60" i="11"/>
  <c r="C60" i="10"/>
  <c r="C61" i="11"/>
  <c r="C61" i="10"/>
  <c r="C62" i="11"/>
  <c r="C62" i="10"/>
  <c r="C63" i="11"/>
  <c r="C63" i="10"/>
  <c r="C64" i="11"/>
  <c r="C64" i="10"/>
  <c r="C65" i="11"/>
  <c r="C65" i="10"/>
  <c r="C66" i="11"/>
  <c r="C66" i="10"/>
  <c r="C67" i="11"/>
  <c r="C67" i="10"/>
  <c r="C13" i="7"/>
  <c r="C12" i="6"/>
  <c r="C39" i="5"/>
  <c r="D26" i="5" s="1"/>
  <c r="O29" i="3"/>
  <c r="C28" i="10"/>
  <c r="C39" i="8"/>
  <c r="C36" i="4"/>
  <c r="D26" i="4" s="1"/>
  <c r="O31" i="3"/>
  <c r="O30" i="3"/>
  <c r="O26" i="3"/>
  <c r="C28" i="12"/>
  <c r="C28" i="11"/>
  <c r="C24" i="9"/>
  <c r="B36" i="12"/>
  <c r="B36" i="11"/>
  <c r="B37" i="12"/>
  <c r="B37" i="11"/>
  <c r="B38" i="12"/>
  <c r="B38" i="11"/>
  <c r="B39" i="12"/>
  <c r="B39" i="11"/>
  <c r="B40" i="12"/>
  <c r="B40" i="11"/>
  <c r="B41" i="12"/>
  <c r="B41" i="11"/>
  <c r="B42" i="11"/>
  <c r="B42" i="12"/>
  <c r="B43" i="12"/>
  <c r="B43" i="11"/>
  <c r="B44" i="12"/>
  <c r="B44" i="11"/>
  <c r="B45" i="12"/>
  <c r="B45" i="11"/>
  <c r="B64" i="11"/>
  <c r="B64" i="10"/>
  <c r="B65" i="11"/>
  <c r="B65" i="10"/>
  <c r="B66" i="11"/>
  <c r="B66" i="10"/>
  <c r="B67" i="11"/>
  <c r="B67" i="10"/>
  <c r="B28" i="11"/>
  <c r="B28" i="10"/>
  <c r="B24" i="9"/>
  <c r="B39" i="8"/>
  <c r="B13" i="7"/>
  <c r="B12" i="6"/>
  <c r="B39" i="5"/>
  <c r="B36" i="4"/>
  <c r="B28" i="12"/>
  <c r="P30" i="3" l="1"/>
  <c r="E29" i="3"/>
  <c r="K27" i="3"/>
  <c r="P27" i="3"/>
  <c r="E30" i="3"/>
  <c r="P28" i="3"/>
  <c r="P31" i="3"/>
  <c r="E27" i="3"/>
  <c r="D12" i="9"/>
  <c r="L14" i="9"/>
  <c r="D14" i="9"/>
  <c r="D27" i="8"/>
  <c r="E28" i="3"/>
  <c r="K28" i="3"/>
  <c r="K29" i="3"/>
  <c r="P29" i="3"/>
  <c r="E27" i="5"/>
  <c r="E29" i="5"/>
  <c r="E28" i="5"/>
  <c r="M27" i="5"/>
  <c r="E31" i="5"/>
  <c r="M30" i="5"/>
  <c r="E30" i="5"/>
  <c r="E31" i="4"/>
  <c r="E30" i="4"/>
  <c r="E27" i="4"/>
  <c r="E29" i="4"/>
  <c r="E28" i="4"/>
  <c r="E13" i="9" l="1"/>
  <c r="M12" i="9"/>
  <c r="L15" i="9"/>
  <c r="N14" i="9"/>
  <c r="M14" i="9"/>
  <c r="E17" i="9"/>
  <c r="E16" i="9"/>
  <c r="E14" i="9"/>
  <c r="E15" i="9"/>
  <c r="E29" i="8"/>
  <c r="E30" i="8"/>
  <c r="M33" i="8"/>
  <c r="M27" i="8"/>
  <c r="E31" i="8"/>
  <c r="E28" i="8"/>
  <c r="M30" i="8"/>
  <c r="E32" i="8"/>
  <c r="M28" i="8"/>
  <c r="M29" i="8"/>
  <c r="M31" i="8"/>
  <c r="L34" i="8"/>
  <c r="N15" i="9" l="1"/>
  <c r="M15" i="9"/>
  <c r="M34" i="8"/>
  <c r="N3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3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3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3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G3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 xml:space="preserve">NO PROMOCIÓ A 2N:
BÀSICA: Els mòduls professionals pendents associats a estàndards de competència superen el 20% de l'horari setmanal i no s'ha superat almenys un dels àmbits distints del professional.
MITJÀ I SUPERIOR: No haver superat almenys el 80% del total de les hores lectives del primer curs (200 hores)
</t>
        </r>
      </text>
    </comment>
    <comment ref="D38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G1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 xml:space="preserve">NO PROMOCIÓ A 2N:
BÀSICA: Els mòduls professionals pendents associats a estàndards de competència superen el 20% de l'horari setmanal i no s'ha superat almenys un dels àmbits distints del professional.
MITJÀ I SUPERIOR: No haver superat almenys el 80% del total de les hores lectives del primer curs (200 hores)
</t>
        </r>
      </text>
    </comment>
    <comment ref="D2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27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27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2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</text>
    </comment>
  </commentList>
</comments>
</file>

<file path=xl/sharedStrings.xml><?xml version="1.0" encoding="utf-8"?>
<sst xmlns="http://schemas.openxmlformats.org/spreadsheetml/2006/main" count="1116" uniqueCount="161">
  <si>
    <t>PC03.F01 Acta d'avaluació Ed.02 - Setem.25</t>
  </si>
  <si>
    <t>GRUP</t>
  </si>
  <si>
    <t>TUTOR/A</t>
  </si>
  <si>
    <t>CURS ESCOLAR</t>
  </si>
  <si>
    <t>Resum acords adoptats de caràcter col·legiat</t>
  </si>
  <si>
    <t>Avaluació inicial</t>
  </si>
  <si>
    <t>Primera parcial</t>
  </si>
  <si>
    <t>Segona parcial</t>
  </si>
  <si>
    <t>Avaluació final ordinaria</t>
  </si>
  <si>
    <t>Avaluació extraordinària</t>
  </si>
  <si>
    <t>AVALUACIÓ</t>
  </si>
  <si>
    <t>Avaluació 0 (inicial)</t>
  </si>
  <si>
    <t>DATA SESSIÓ</t>
  </si>
  <si>
    <t>1- Informe sobre els aspectes generals del grup</t>
  </si>
  <si>
    <t>Valoració de l'assistència i puntualitat a classe. Gestió del temps i compromís amb l'aprenentatge.</t>
  </si>
  <si>
    <t>Valoració de les competències actitudinals i hàbits de treball.</t>
  </si>
  <si>
    <t>Valoració de l'ambient de la classe, interacció entre l'alumnat: convivència, participació i col·laboració.</t>
  </si>
  <si>
    <t>2- Informació traslladada per l'alumnat</t>
  </si>
  <si>
    <t>Identificació de mòduls i resultats d'aprenentatge amb majors dificultats. Falta de desenvolupament de determinades competències.</t>
  </si>
  <si>
    <t>3- Estadístiques sobre el context del grup</t>
  </si>
  <si>
    <t>Via d'accés de l'alumnat</t>
  </si>
  <si>
    <t>Experiència professional prèvia</t>
  </si>
  <si>
    <t>Total alumnat grup</t>
  </si>
  <si>
    <t>% sobre total</t>
  </si>
  <si>
    <t>Núm. alumnat ESO</t>
  </si>
  <si>
    <t>Núm. alumnat experiència relacionada amb el cicle</t>
  </si>
  <si>
    <t>Núm. baixes confirmades</t>
  </si>
  <si>
    <t>Núm. alumnat batxillerat</t>
  </si>
  <si>
    <t>Núm. alumnat experiència una altra família professional</t>
  </si>
  <si>
    <t>Total alumnat absentista</t>
  </si>
  <si>
    <t>Núm. alumnat Proves d'accés</t>
  </si>
  <si>
    <t>Núm. alumnat sense experiència professional</t>
  </si>
  <si>
    <t>Total alumnat NESE</t>
  </si>
  <si>
    <t>Núm. alumnat altres titulacions</t>
  </si>
  <si>
    <t>No coincideix amb el total del grup</t>
  </si>
  <si>
    <t>Total alumnat amb pendents</t>
  </si>
  <si>
    <t>Total alumnat repetidor</t>
  </si>
  <si>
    <t>4- Anàlisi individual de l'alumnat</t>
  </si>
  <si>
    <t>NIA</t>
  </si>
  <si>
    <t>Alumne/a</t>
  </si>
  <si>
    <t>Estat 1rT</t>
  </si>
  <si>
    <t>NUSS</t>
  </si>
  <si>
    <t>Certif. digital</t>
  </si>
  <si>
    <t>Autorització imatges</t>
  </si>
  <si>
    <t>Alerta sanitària</t>
  </si>
  <si>
    <t>Pendents</t>
  </si>
  <si>
    <t>Repetidor/a</t>
  </si>
  <si>
    <t>NESE</t>
  </si>
  <si>
    <t>Situació familiar</t>
  </si>
  <si>
    <t>Observacions - Seguiment individual - Mesures d'inclusió - Pla recuperació Convalidacions - Exempcions</t>
  </si>
  <si>
    <t>No</t>
  </si>
  <si>
    <t>5- Acords adoptats de caràcter col·legiat per l'equip docent</t>
  </si>
  <si>
    <t xml:space="preserve">Acta elaborada per: XXXXX. XX:XXh </t>
  </si>
  <si>
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</si>
  <si>
    <t>Valoració de l'ambient de la classe, interacció entre l'alumnat: convivència, participació i la col·laboració.</t>
  </si>
  <si>
    <t>3- Estadístiques</t>
  </si>
  <si>
    <t>Inclou el valor (número) en les cel·les ombrejades en roig</t>
  </si>
  <si>
    <t>Núm. alumnat total grup</t>
  </si>
  <si>
    <t>Observacions:</t>
  </si>
  <si>
    <t>Núm. abandonaments</t>
  </si>
  <si>
    <t>Núm. alumnat NESE</t>
  </si>
  <si>
    <t>Núm. alumnat avaluat</t>
  </si>
  <si>
    <t>Núm. alumnat no avaluat</t>
  </si>
  <si>
    <t>Observacions individuals - Mesures d'atenció a la diversitat  - Eficàcia de les mesures - Avaluar el progrés de l'alumnat en la consecució dels RA i les competències professionals i per a l'ocupabilitat - Plans de recuperació - Pèrdua de l'avaluació contínua</t>
  </si>
  <si>
    <t>5- Seguiments d'acords i mesures adoptades de manera consensuada per l'equip docent en anteriors reunions</t>
  </si>
  <si>
    <t>Seguiment</t>
  </si>
  <si>
    <t>Observacions</t>
  </si>
  <si>
    <t>6- Acords adoptats de caràcter col·legiat per l'equip docent</t>
  </si>
  <si>
    <t>Previsió alumnat amb condicions de no promocionar</t>
  </si>
  <si>
    <t>Núm. alu</t>
  </si>
  <si>
    <t>%</t>
  </si>
  <si>
    <t>Bàsica</t>
  </si>
  <si>
    <t>Els mòduls professionals pendents associats a estàndards de competència superen el 20% de l'horari setmanal i no s'ha superat almenys un dels àmbits distints del professional.</t>
  </si>
  <si>
    <t>Mitjà i superior</t>
  </si>
  <si>
    <t>No haver superat almenys el 80% del total de les hores lectives del primer curs - 200 hores</t>
  </si>
  <si>
    <t>Estat 2nT</t>
  </si>
  <si>
    <t>Observacions individuals - Mesures d'atenció a la diversitat  - Eficàcia de les mesures - Avaluar el progrés de l'alumnat en la consecució dels RA i les competències professionals i per a l'ocupabilitat - Plans de recuperació - Pèrdua de l'avaluació contínua - No supera PRL</t>
  </si>
  <si>
    <t>REUNIÓ EQUIP DOCENT</t>
  </si>
  <si>
    <t>Formació Empreses</t>
  </si>
  <si>
    <t>DATA REUNIÓ</t>
  </si>
  <si>
    <t>1- Informació sobre les pràctiques formatives</t>
  </si>
  <si>
    <t>Núm. FE</t>
  </si>
  <si>
    <t>Accés pràctiques</t>
  </si>
  <si>
    <t>Motius de 
no accés</t>
  </si>
  <si>
    <t>Empresa</t>
  </si>
  <si>
    <t>Cesse</t>
  </si>
  <si>
    <t>Motiu cesse</t>
  </si>
  <si>
    <t>Hores FE realitzades</t>
  </si>
  <si>
    <t>FE superada</t>
  </si>
  <si>
    <t>Inserció laboral</t>
  </si>
  <si>
    <t>-</t>
  </si>
  <si>
    <t>00,00% Sí</t>
  </si>
  <si>
    <t>2- Acords adoptats de caràcter col·legiat per l'equip docent</t>
  </si>
  <si>
    <t>Projecte Intermodular</t>
  </si>
  <si>
    <t>1- Informació sobre el Projecte Intermodular</t>
  </si>
  <si>
    <t>Estat 3rT</t>
  </si>
  <si>
    <t>Nota PI 1r curs</t>
  </si>
  <si>
    <t>Nota PI 2n curs</t>
  </si>
  <si>
    <t>Avaluació final</t>
  </si>
  <si>
    <t>Sobre avaluats</t>
  </si>
  <si>
    <t>Núm. alumnat amb tot aprovat</t>
  </si>
  <si>
    <t>Núm. alumnat amb 1 mòdul suspès</t>
  </si>
  <si>
    <t>Núm. alumnat amb 2 mòduls suspesos</t>
  </si>
  <si>
    <t>Núm. alumnat amb 3 mòduls suspesos</t>
  </si>
  <si>
    <t>Núm. alumnat amb 4 o més mòduls suspesos</t>
  </si>
  <si>
    <t>Núm. alu. promociona (1r) - titula (2n)</t>
  </si>
  <si>
    <t>Núm. alu. no promociona (1r) - no titula (2n)</t>
  </si>
  <si>
    <t>Esgota convocatòria</t>
  </si>
  <si>
    <t>Mòdul/s que esgota convocatòria</t>
  </si>
  <si>
    <t>Convocatòria extraordinària</t>
  </si>
  <si>
    <t>Mòduls - RA suspesos</t>
  </si>
  <si>
    <t>Decisió col·legiada</t>
  </si>
  <si>
    <t>Motivació - Observacions - Pla reforç -Extraordinària de gràcia</t>
  </si>
  <si>
    <t>1- Estadístiques</t>
  </si>
  <si>
    <t>% sobre total extraordinària</t>
  </si>
  <si>
    <t>Núm. alumnat amb tot aprovat (final + extraordinària)</t>
  </si>
  <si>
    <t>Núm. alumnat extraordinària</t>
  </si>
  <si>
    <t>Núm. alumnat amb tot aprovat en extraordinària</t>
  </si>
  <si>
    <t>2- Anàlisi individual de l'alumnat</t>
  </si>
  <si>
    <t>Supera mòduls pendents</t>
  </si>
  <si>
    <t>Observacions - Mòduls/RA no superats</t>
  </si>
  <si>
    <t>3- Seguiments d'acords i mesures adoptades de manera consensuada per l'equip docent en anteriors reunions</t>
  </si>
  <si>
    <t>4- Acords adoptats de caràcter col·legiat per l'equip docent</t>
  </si>
  <si>
    <t xml:space="preserve">Reunió equip docent </t>
  </si>
  <si>
    <t>Ed01 - Setem.25</t>
  </si>
  <si>
    <t>1- Seguiment i evolució del grup</t>
  </si>
  <si>
    <t>Revisió d'acords anteriors</t>
  </si>
  <si>
    <t>Anàlisis del rendiment general del grup - Punts forts (aspectes positius en l'aprenentatge, participació, ambient de grup, etc.)</t>
  </si>
  <si>
    <t>Anàlisi del rendiment general del grup - Aspectes a millorar (dificultats observades a nivell grupal ex. falta de participació, problemes de convivència, baixos resultats en determinats RA o mòduls)</t>
  </si>
  <si>
    <t>2- Valoració del procés d'ensenyament-aprenentatge</t>
  </si>
  <si>
    <t>3- Anàlisi individual de l'alumnat</t>
  </si>
  <si>
    <t>Estat1rT</t>
  </si>
  <si>
    <t>Valoració del progrés en la consecució dels Resultats d'Aprenentatge (RA) i les competències professionals i per a l'ocupabilitat - Identificació d'alumnat amb progrés no adequat i registre del seguiment i suports individualitzats</t>
  </si>
  <si>
    <t xml:space="preserve">
</t>
  </si>
  <si>
    <t>4- Acords adoptats de caràcter col·legiat per l'equip docent. A partir dels resultats de les avaluacions del procés d'aprenentatge, es redefiniran propostes de millora del procés d'ensenyament.</t>
  </si>
  <si>
    <t>Estat2nT</t>
  </si>
  <si>
    <t>Estat3rT</t>
  </si>
  <si>
    <t>Ficha Alumno</t>
  </si>
  <si>
    <t>Ed.02 - Setem.25</t>
  </si>
  <si>
    <t>#</t>
  </si>
  <si>
    <t>Nombre</t>
  </si>
  <si>
    <t>Apellido 1</t>
  </si>
  <si>
    <t>Apellido 2</t>
  </si>
  <si>
    <t>Fecha Nac.</t>
  </si>
  <si>
    <t>Sexo</t>
  </si>
  <si>
    <t>Documento</t>
  </si>
  <si>
    <t>Domicilio</t>
  </si>
  <si>
    <t>Número</t>
  </si>
  <si>
    <t>Puerta</t>
  </si>
  <si>
    <t>Cód. Postal</t>
  </si>
  <si>
    <t>Teléfono 1</t>
  </si>
  <si>
    <t>Teléfono 2</t>
  </si>
  <si>
    <t>Email 1</t>
  </si>
  <si>
    <t>Email 2</t>
  </si>
  <si>
    <t>Enseñanza</t>
  </si>
  <si>
    <t>Curso</t>
  </si>
  <si>
    <t>Grupo</t>
  </si>
  <si>
    <t>Turno</t>
  </si>
  <si>
    <t>Repite</t>
  </si>
  <si>
    <t>Nuss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</si>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</sst>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2"/>
      <color rgb="FF000000"/>
      <name val="Aptos Display"/>
      <family val="2"/>
    </font>
    <font>
      <b/>
      <sz val="12"/>
      <color rgb="FF000000"/>
      <name val="Aptos Display"/>
      <family val="2"/>
    </font>
    <font>
      <u/>
      <sz val="12"/>
      <color rgb="FF000000"/>
      <name val="Aptos Display"/>
      <family val="2"/>
    </font>
    <font>
      <sz val="14"/>
      <color rgb="FF000000"/>
      <name val="Aptos Display"/>
      <family val="2"/>
    </font>
    <font>
      <sz val="12"/>
      <color theme="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sz val="16"/>
      <color rgb="FF000000"/>
      <name val="Aptos Display"/>
      <family val="2"/>
    </font>
    <font>
      <sz val="10"/>
      <color theme="1"/>
      <name val="Aptos Display"/>
      <family val="2"/>
    </font>
    <font>
      <sz val="16"/>
      <color theme="0"/>
      <name val="Aptos Display"/>
      <family val="2"/>
    </font>
    <font>
      <sz val="11"/>
      <color rgb="FF242424"/>
      <name val="Consolas"/>
      <charset val="1"/>
    </font>
    <font>
      <sz val="12"/>
      <color rgb="FF000000"/>
      <name val="Calibri Light"/>
      <family val="2"/>
    </font>
    <font>
      <sz val="12"/>
      <color rgb="FF000000"/>
      <name val="Aptos Display"/>
    </font>
    <font>
      <sz val="14"/>
      <color rgb="FF000000"/>
      <name val="Aptos Display"/>
    </font>
    <font>
      <sz val="10"/>
      <color theme="1"/>
      <name val="Aptos Display"/>
    </font>
    <font>
      <sz val="12"/>
      <color theme="0"/>
      <name val="Aptos Display"/>
    </font>
    <font>
      <sz val="16"/>
      <color theme="0"/>
      <name val="Aptos Display"/>
    </font>
    <font>
      <sz val="12"/>
      <name val="Aptos Display"/>
    </font>
    <font>
      <sz val="12"/>
      <color rgb="FFFF0000"/>
      <name val="Aptos Display"/>
    </font>
    <font>
      <b/>
      <sz val="11"/>
      <color rgb="FF000000"/>
      <name val="Aptos Display"/>
    </font>
    <font>
      <i/>
      <sz val="9"/>
      <color theme="1" tint="0.249977111117893"/>
      <name val="Aptos Display"/>
      <family val="2"/>
    </font>
    <font>
      <sz val="11"/>
      <color rgb="FF000000"/>
      <name val="Aptos Display"/>
    </font>
    <font>
      <sz val="11"/>
      <color theme="1" tint="0.249977111117893"/>
      <name val="Aptos Display"/>
      <family val="2"/>
    </font>
    <font>
      <sz val="9"/>
      <color rgb="FF000000"/>
      <name val="Aptos Display"/>
    </font>
    <font>
      <sz val="10"/>
      <color rgb="FF000000"/>
      <name val="Aptos Display"/>
    </font>
    <font>
      <sz val="16"/>
      <color rgb="FF000000"/>
      <name val="Aptos Display"/>
    </font>
    <font>
      <sz val="16"/>
      <color theme="2"/>
      <name val="Aptos Display"/>
      <family val="2"/>
    </font>
    <font>
      <i/>
      <sz val="10"/>
      <color rgb="FF000000"/>
      <name val="Aptos Display"/>
      <family val="2"/>
    </font>
    <font>
      <i/>
      <sz val="9"/>
      <color rgb="FF000000"/>
      <name val="Aptos Display"/>
      <family val="2"/>
    </font>
    <font>
      <i/>
      <sz val="12"/>
      <color rgb="FF000000"/>
      <name val="Aptos Display"/>
      <family val="2"/>
    </font>
    <font>
      <sz val="16"/>
      <color rgb="FF000000"/>
      <name val="Calibri Light"/>
      <family val="2"/>
    </font>
    <font>
      <sz val="10"/>
      <color theme="1"/>
      <name val="Calibri Light"/>
      <family val="2"/>
    </font>
    <font>
      <sz val="12"/>
      <color theme="0"/>
      <name val="Calibri Light"/>
      <family val="2"/>
    </font>
    <font>
      <i/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i/>
      <sz val="10"/>
      <color rgb="FF000000"/>
      <name val="Aptos Display"/>
    </font>
    <font>
      <sz val="12"/>
      <color theme="5" tint="-0.249977111117893"/>
      <name val="Aptos Display"/>
      <family val="2"/>
    </font>
    <font>
      <i/>
      <sz val="8"/>
      <color rgb="FF000000"/>
      <name val="Aptos Display"/>
      <family val="2"/>
    </font>
    <font>
      <sz val="11"/>
      <color theme="1" tint="0.34998626667073579"/>
      <name val="Aptos Display"/>
      <family val="2"/>
    </font>
    <font>
      <b/>
      <sz val="18"/>
      <color rgb="FF000000"/>
      <name val="Aptos Display"/>
      <family val="2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D9D9D9"/>
      </patternFill>
    </fill>
  </fills>
  <borders count="6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3" fillId="3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20" fillId="0" borderId="15" xfId="0" applyFont="1" applyBorder="1" applyAlignment="1">
      <alignment vertical="center"/>
    </xf>
    <xf numFmtId="0" fontId="1" fillId="7" borderId="16" xfId="0" applyFont="1" applyFill="1" applyBorder="1" applyAlignment="1">
      <alignment horizontal="center" vertical="center"/>
    </xf>
    <xf numFmtId="10" fontId="21" fillId="3" borderId="17" xfId="0" applyNumberFormat="1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10" fontId="23" fillId="7" borderId="18" xfId="0" applyNumberFormat="1" applyFont="1" applyFill="1" applyBorder="1" applyAlignment="1">
      <alignment horizontal="center" vertical="center"/>
    </xf>
    <xf numFmtId="10" fontId="23" fillId="7" borderId="8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0" fontId="23" fillId="7" borderId="7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5" fillId="6" borderId="1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" fontId="24" fillId="0" borderId="19" xfId="0" applyNumberFormat="1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10" fontId="23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0" fontId="23" fillId="3" borderId="0" xfId="0" applyNumberFormat="1" applyFont="1" applyFill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10" fontId="23" fillId="9" borderId="0" xfId="0" applyNumberFormat="1" applyFont="1" applyFill="1" applyAlignment="1">
      <alignment horizontal="center" vertical="center"/>
    </xf>
    <xf numFmtId="10" fontId="23" fillId="3" borderId="0" xfId="0" applyNumberFormat="1" applyFont="1" applyFill="1" applyAlignment="1">
      <alignment vertical="center"/>
    </xf>
    <xf numFmtId="0" fontId="34" fillId="3" borderId="0" xfId="0" applyFont="1" applyFill="1" applyAlignment="1">
      <alignment horizontal="center" vertical="center"/>
    </xf>
    <xf numFmtId="0" fontId="35" fillId="9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7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1" fontId="7" fillId="4" borderId="36" xfId="0" applyNumberFormat="1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1" fontId="7" fillId="4" borderId="40" xfId="0" applyNumberFormat="1" applyFont="1" applyFill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10" fontId="6" fillId="7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0" fillId="5" borderId="10" xfId="0" applyFont="1" applyFill="1" applyBorder="1" applyAlignment="1">
      <alignment vertical="center"/>
    </xf>
    <xf numFmtId="0" fontId="10" fillId="5" borderId="11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10" fontId="2" fillId="11" borderId="0" xfId="0" applyNumberFormat="1" applyFont="1" applyFill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0" borderId="3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5" fillId="10" borderId="45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6" fillId="4" borderId="3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0" fontId="23" fillId="7" borderId="52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1" fillId="8" borderId="43" xfId="0" applyFont="1" applyFill="1" applyBorder="1" applyAlignment="1">
      <alignment horizontal="center" vertical="center"/>
    </xf>
    <xf numFmtId="10" fontId="23" fillId="7" borderId="43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53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3" borderId="1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0" fontId="23" fillId="3" borderId="1" xfId="0" applyNumberFormat="1" applyFont="1" applyFill="1" applyBorder="1" applyAlignment="1">
      <alignment horizontal="center" vertical="center"/>
    </xf>
    <xf numFmtId="10" fontId="23" fillId="3" borderId="5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1" fillId="7" borderId="43" xfId="0" applyFont="1" applyFill="1" applyBorder="1" applyAlignment="1">
      <alignment horizontal="center" vertical="center"/>
    </xf>
    <xf numFmtId="10" fontId="23" fillId="7" borderId="54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41" fillId="12" borderId="62" xfId="0" applyFont="1" applyFill="1" applyBorder="1" applyAlignment="1">
      <alignment horizontal="center" vertical="center" wrapText="1"/>
    </xf>
    <xf numFmtId="0" fontId="0" fillId="0" borderId="62" xfId="0" applyBorder="1" applyAlignment="1">
      <alignment vertical="center"/>
    </xf>
    <xf numFmtId="49" fontId="0" fillId="0" borderId="62" xfId="0" applyNumberForma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vertical="center"/>
    </xf>
    <xf numFmtId="0" fontId="17" fillId="5" borderId="4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5" fillId="0" borderId="13" xfId="0" applyFont="1" applyBorder="1" applyAlignment="1">
      <alignment horizontal="left" vertical="center" wrapText="1"/>
    </xf>
    <xf numFmtId="0" fontId="0" fillId="0" borderId="5" xfId="0" applyBorder="1"/>
    <xf numFmtId="0" fontId="13" fillId="6" borderId="0" xfId="0" applyFont="1" applyFill="1" applyAlignment="1">
      <alignment horizontal="left" vertical="center"/>
    </xf>
    <xf numFmtId="0" fontId="22" fillId="3" borderId="15" xfId="0" applyFont="1" applyFill="1" applyBorder="1" applyAlignment="1">
      <alignment horizontal="right" vertical="center"/>
    </xf>
    <xf numFmtId="0" fontId="0" fillId="0" borderId="15" xfId="0" applyBorder="1"/>
    <xf numFmtId="0" fontId="24" fillId="0" borderId="3" xfId="0" applyFont="1" applyBorder="1" applyAlignment="1">
      <alignment horizontal="center" vertical="center"/>
    </xf>
    <xf numFmtId="0" fontId="0" fillId="0" borderId="3" xfId="0" applyBorder="1"/>
    <xf numFmtId="0" fontId="13" fillId="0" borderId="13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0" fillId="0" borderId="8" xfId="0" applyBorder="1"/>
    <xf numFmtId="0" fontId="1" fillId="4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1" xfId="0" applyBorder="1"/>
    <xf numFmtId="0" fontId="13" fillId="2" borderId="9" xfId="0" applyFont="1" applyFill="1" applyBorder="1" applyAlignment="1">
      <alignment horizontal="center" vertical="center"/>
    </xf>
    <xf numFmtId="0" fontId="0" fillId="0" borderId="9" xfId="0" applyBorder="1"/>
    <xf numFmtId="0" fontId="17" fillId="5" borderId="4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14" fontId="16" fillId="5" borderId="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3" fillId="3" borderId="5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horizontal="left" vertical="center"/>
    </xf>
    <xf numFmtId="0" fontId="0" fillId="0" borderId="14" xfId="0" applyBorder="1"/>
    <xf numFmtId="0" fontId="20" fillId="0" borderId="15" xfId="0" applyFont="1" applyBorder="1" applyAlignment="1">
      <alignment horizontal="right" vertical="center"/>
    </xf>
    <xf numFmtId="0" fontId="13" fillId="4" borderId="7" xfId="0" applyFont="1" applyFill="1" applyBorder="1" applyAlignment="1">
      <alignment horizontal="center" vertical="center"/>
    </xf>
    <xf numFmtId="0" fontId="0" fillId="0" borderId="7" xfId="0" applyBorder="1"/>
    <xf numFmtId="0" fontId="20" fillId="3" borderId="15" xfId="0" applyFont="1" applyFill="1" applyBorder="1" applyAlignment="1">
      <alignment horizontal="right" vertical="center"/>
    </xf>
    <xf numFmtId="0" fontId="25" fillId="6" borderId="5" xfId="0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13" fillId="0" borderId="0" xfId="0" applyFont="1" applyAlignment="1">
      <alignment vertical="center" wrapText="1"/>
    </xf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0" fillId="0" borderId="24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4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6" fillId="4" borderId="7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14" fontId="5" fillId="5" borderId="3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 wrapText="1"/>
    </xf>
    <xf numFmtId="0" fontId="0" fillId="0" borderId="25" xfId="0" applyBorder="1"/>
    <xf numFmtId="0" fontId="1" fillId="7" borderId="5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8" fillId="3" borderId="5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left" vertical="center"/>
    </xf>
    <xf numFmtId="0" fontId="10" fillId="5" borderId="58" xfId="0" applyFont="1" applyFill="1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30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27" fillId="5" borderId="4" xfId="0" applyFont="1" applyFill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6" fillId="3" borderId="59" xfId="0" applyFont="1" applyFill="1" applyBorder="1" applyAlignment="1">
      <alignment horizontal="left" vertical="top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6" borderId="2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8" fillId="3" borderId="0" xfId="0" applyFont="1" applyFill="1" applyAlignment="1">
      <alignment horizontal="left" vertical="center" wrapText="1"/>
    </xf>
    <xf numFmtId="0" fontId="6" fillId="0" borderId="59" xfId="0" applyFont="1" applyBorder="1" applyAlignment="1">
      <alignment horizontal="left" vertical="top"/>
    </xf>
    <xf numFmtId="0" fontId="36" fillId="3" borderId="32" xfId="0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1" fillId="2" borderId="16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center" vertical="center" wrapText="1"/>
    </xf>
    <xf numFmtId="0" fontId="0" fillId="0" borderId="38" xfId="0" applyBorder="1"/>
    <xf numFmtId="0" fontId="1" fillId="2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0" fillId="0" borderId="44" xfId="0" applyBorder="1"/>
    <xf numFmtId="0" fontId="1" fillId="0" borderId="0" xfId="0" applyFont="1" applyAlignment="1">
      <alignment vertical="center" wrapText="1"/>
    </xf>
    <xf numFmtId="0" fontId="5" fillId="10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43" xfId="0" applyBorder="1"/>
    <xf numFmtId="0" fontId="1" fillId="3" borderId="0" xfId="0" applyFont="1" applyFill="1" applyAlignment="1">
      <alignment vertical="center"/>
    </xf>
    <xf numFmtId="0" fontId="6" fillId="0" borderId="38" xfId="0" applyFont="1" applyBorder="1" applyAlignment="1">
      <alignment horizontal="center" vertical="center" wrapText="1"/>
    </xf>
    <xf numFmtId="0" fontId="5" fillId="10" borderId="46" xfId="0" applyFont="1" applyFill="1" applyBorder="1" applyAlignment="1">
      <alignment horizontal="center" vertical="center" wrapText="1"/>
    </xf>
    <xf numFmtId="0" fontId="0" fillId="0" borderId="46" xfId="0" applyBorder="1"/>
    <xf numFmtId="0" fontId="6" fillId="0" borderId="44" xfId="0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6" fillId="0" borderId="48" xfId="0" applyFont="1" applyBorder="1" applyAlignment="1">
      <alignment horizontal="center" vertical="center" wrapText="1"/>
    </xf>
    <xf numFmtId="0" fontId="0" fillId="0" borderId="48" xfId="0" applyBorder="1"/>
    <xf numFmtId="0" fontId="8" fillId="3" borderId="60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5" fillId="10" borderId="38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" fillId="3" borderId="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/>
    </xf>
    <xf numFmtId="0" fontId="1" fillId="7" borderId="55" xfId="0" applyFont="1" applyFill="1" applyBorder="1" applyAlignment="1">
      <alignment horizontal="left" vertical="center"/>
    </xf>
    <xf numFmtId="0" fontId="0" fillId="0" borderId="55" xfId="0" applyBorder="1"/>
    <xf numFmtId="0" fontId="39" fillId="0" borderId="0" xfId="0" applyFont="1" applyAlignment="1">
      <alignment horizontal="right" vertical="center" wrapText="1"/>
    </xf>
    <xf numFmtId="0" fontId="1" fillId="7" borderId="2" xfId="0" applyFont="1" applyFill="1" applyBorder="1" applyAlignment="1">
      <alignment horizontal="left" vertical="center"/>
    </xf>
    <xf numFmtId="0" fontId="0" fillId="0" borderId="2" xfId="0" applyBorder="1"/>
    <xf numFmtId="0" fontId="1" fillId="6" borderId="5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0" fillId="5" borderId="58" xfId="0" applyFont="1" applyFill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top" wrapText="1"/>
    </xf>
    <xf numFmtId="0" fontId="0" fillId="0" borderId="56" xfId="0" applyBorder="1"/>
    <xf numFmtId="0" fontId="1" fillId="0" borderId="19" xfId="0" applyFont="1" applyBorder="1" applyAlignment="1">
      <alignment horizontal="left" vertical="top" wrapText="1"/>
    </xf>
    <xf numFmtId="0" fontId="1" fillId="3" borderId="36" xfId="0" applyFont="1" applyFill="1" applyBorder="1" applyAlignment="1">
      <alignment horizontal="left" vertical="top" wrapText="1"/>
    </xf>
    <xf numFmtId="0" fontId="0" fillId="0" borderId="47" xfId="0" applyBorder="1"/>
    <xf numFmtId="0" fontId="1" fillId="0" borderId="36" xfId="0" applyFont="1" applyBorder="1" applyAlignment="1">
      <alignment horizontal="left" vertical="top" wrapText="1"/>
    </xf>
  </cellXfs>
  <cellStyles count="1">
    <cellStyle name="Normal" xfId="0" builtinId="0"/>
  </cellStyles>
  <dxfs count="36"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 patternType="solid">
          <bgColor rgb="FFED6B6B"/>
        </patternFill>
      </fill>
    </dxf>
    <dxf>
      <font>
        <color theme="0"/>
      </font>
      <fill>
        <patternFill patternType="solid">
          <bgColor rgb="FFED6B6B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 patternType="solid">
          <bgColor rgb="FFED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2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28515625" style="1" customWidth="1"/>
    <col min="2" max="2" width="12.5703125" style="1" customWidth="1"/>
    <col min="3" max="3" width="10.28515625" style="1" customWidth="1"/>
    <col min="4" max="7" width="12.5703125" style="1" customWidth="1"/>
    <col min="8" max="8" width="15.42578125" style="1" customWidth="1"/>
    <col min="9" max="9" width="16.28515625" style="1" customWidth="1"/>
    <col min="10" max="13" width="12.5703125" style="1" customWidth="1"/>
    <col min="14" max="21" width="0" style="1" hidden="1"/>
    <col min="22" max="180" width="4.42578125" style="1" hidden="1" customWidth="1"/>
    <col min="181" max="181" width="0" style="17" hidden="1"/>
    <col min="182" max="182" width="9.140625" style="17" hidden="1" customWidth="1"/>
    <col min="183" max="16383" width="9.140625" style="1" hidden="1" customWidth="1"/>
    <col min="16384" max="16384" width="3.85546875" style="1" hidden="1" customWidth="1"/>
  </cols>
  <sheetData>
    <row r="1" spans="2:182" ht="15.75" customHeight="1" x14ac:dyDescent="0.25">
      <c r="B1" s="5"/>
      <c r="C1" s="5"/>
      <c r="D1" s="5"/>
      <c r="E1" s="5"/>
      <c r="F1" s="5"/>
      <c r="G1" s="5"/>
      <c r="H1" s="5"/>
      <c r="I1" s="4" t="s">
        <v>0</v>
      </c>
      <c r="J1" s="6"/>
      <c r="K1" s="6"/>
      <c r="L1" s="7"/>
      <c r="M1" s="6"/>
      <c r="FY1" s="1"/>
      <c r="FZ1" s="1"/>
    </row>
    <row r="2" spans="2:182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5"/>
      <c r="FY2" s="1"/>
      <c r="FZ2" s="1"/>
    </row>
    <row r="3" spans="2:182" ht="15.75" customHeight="1" x14ac:dyDescent="0.25">
      <c r="B3" s="209"/>
      <c r="C3" s="209"/>
      <c r="D3" s="209"/>
      <c r="E3" s="209"/>
      <c r="F3" s="209"/>
      <c r="G3" s="209"/>
      <c r="H3" s="5"/>
      <c r="I3" s="9" t="s">
        <v>1</v>
      </c>
      <c r="J3" s="182" t="str">
        <f>IF(ficha_alum!K3 = "", "", ficha_alum!K3)</f>
        <v/>
      </c>
      <c r="K3" s="172"/>
      <c r="L3" s="172"/>
      <c r="M3" s="172"/>
      <c r="FY3" s="1"/>
      <c r="FZ3" s="1"/>
    </row>
    <row r="4" spans="2:182" ht="15.75" customHeight="1" x14ac:dyDescent="0.25">
      <c r="B4" s="209"/>
      <c r="C4" s="209"/>
      <c r="D4" s="209"/>
      <c r="E4" s="209"/>
      <c r="F4" s="209"/>
      <c r="G4" s="209"/>
      <c r="H4" s="5"/>
      <c r="I4" s="9" t="s">
        <v>2</v>
      </c>
      <c r="J4" s="182" t="str">
        <f>IF(ficha_alum!K4 = "", "", ficha_alum!K4)</f>
        <v/>
      </c>
      <c r="K4" s="172"/>
      <c r="L4" s="172"/>
      <c r="M4" s="172"/>
      <c r="FY4" s="1"/>
      <c r="FZ4" s="1"/>
    </row>
    <row r="5" spans="2:182" ht="15.75" customHeight="1" thickBot="1" x14ac:dyDescent="0.3">
      <c r="B5" s="209"/>
      <c r="C5" s="209"/>
      <c r="D5" s="209"/>
      <c r="E5" s="209"/>
      <c r="F5" s="209"/>
      <c r="G5" s="209"/>
      <c r="H5" s="5"/>
      <c r="I5" s="10" t="s">
        <v>3</v>
      </c>
      <c r="J5" s="182" t="str">
        <f>IF(ficha_alum!K5 = "", "", ficha_alum!K5)</f>
        <v/>
      </c>
      <c r="K5" s="172"/>
      <c r="L5" s="172"/>
      <c r="M5" s="172"/>
      <c r="FY5" s="1"/>
      <c r="FZ5" s="1"/>
    </row>
    <row r="6" spans="2:182" ht="27" customHeight="1" x14ac:dyDescent="0.25">
      <c r="B6" s="209"/>
      <c r="C6" s="209"/>
      <c r="D6" s="209"/>
      <c r="E6" s="209"/>
      <c r="F6" s="209"/>
      <c r="G6" s="209"/>
      <c r="H6" s="5"/>
      <c r="I6" s="11"/>
      <c r="J6" s="213"/>
      <c r="K6" s="209"/>
      <c r="L6" s="209"/>
      <c r="M6" s="209"/>
      <c r="FY6" s="1"/>
      <c r="FZ6" s="1"/>
    </row>
    <row r="7" spans="2:182" s="13" customFormat="1" ht="21" customHeight="1" x14ac:dyDescent="0.25">
      <c r="B7" s="214" t="s">
        <v>4</v>
      </c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</row>
    <row r="8" spans="2:182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FY8" s="1"/>
      <c r="FZ8" s="1"/>
    </row>
    <row r="9" spans="2:182" ht="30.75" customHeight="1" x14ac:dyDescent="0.25">
      <c r="B9" s="212" t="s">
        <v>5</v>
      </c>
      <c r="C9" s="209"/>
      <c r="D9" s="14">
        <v>1</v>
      </c>
      <c r="E9" s="210"/>
      <c r="F9" s="172"/>
      <c r="G9" s="172"/>
      <c r="H9" s="172"/>
      <c r="I9" s="172"/>
      <c r="J9" s="172"/>
      <c r="K9" s="172"/>
      <c r="L9" s="172"/>
      <c r="M9" s="172"/>
      <c r="FY9" s="1"/>
      <c r="FZ9" s="1"/>
    </row>
    <row r="10" spans="2:182" ht="30.75" customHeight="1" x14ac:dyDescent="0.25">
      <c r="B10" s="209"/>
      <c r="C10" s="209"/>
      <c r="D10" s="14">
        <v>2</v>
      </c>
      <c r="E10" s="210"/>
      <c r="F10" s="172"/>
      <c r="G10" s="172"/>
      <c r="H10" s="172"/>
      <c r="I10" s="172"/>
      <c r="J10" s="172"/>
      <c r="K10" s="172"/>
      <c r="L10" s="172"/>
      <c r="M10" s="172"/>
      <c r="FY10" s="1"/>
      <c r="FZ10" s="1"/>
    </row>
    <row r="11" spans="2:182" ht="30.75" customHeight="1" x14ac:dyDescent="0.25">
      <c r="B11" s="209"/>
      <c r="C11" s="209"/>
      <c r="D11" s="14">
        <v>3</v>
      </c>
      <c r="E11" s="210"/>
      <c r="F11" s="172"/>
      <c r="G11" s="172"/>
      <c r="H11" s="172"/>
      <c r="I11" s="172"/>
      <c r="J11" s="172"/>
      <c r="K11" s="172"/>
      <c r="L11" s="172"/>
      <c r="M11" s="172"/>
      <c r="FY11" s="1"/>
      <c r="FZ11" s="1"/>
    </row>
    <row r="12" spans="2:182" ht="30.75" customHeight="1" x14ac:dyDescent="0.25">
      <c r="B12" s="209"/>
      <c r="C12" s="209"/>
      <c r="D12" s="14">
        <v>4</v>
      </c>
      <c r="E12" s="210"/>
      <c r="F12" s="172"/>
      <c r="G12" s="172"/>
      <c r="H12" s="172"/>
      <c r="I12" s="172"/>
      <c r="J12" s="172"/>
      <c r="K12" s="172"/>
      <c r="L12" s="172"/>
      <c r="M12" s="172"/>
      <c r="FY12" s="1"/>
      <c r="FZ12" s="1"/>
    </row>
    <row r="13" spans="2:182" ht="30.75" customHeight="1" x14ac:dyDescent="0.25">
      <c r="B13" s="209"/>
      <c r="C13" s="209"/>
      <c r="D13" s="14">
        <v>5</v>
      </c>
      <c r="E13" s="210"/>
      <c r="F13" s="172"/>
      <c r="G13" s="172"/>
      <c r="H13" s="172"/>
      <c r="I13" s="172"/>
      <c r="J13" s="172"/>
      <c r="K13" s="172"/>
      <c r="L13" s="172"/>
      <c r="M13" s="172"/>
      <c r="FY13" s="1"/>
      <c r="FZ13" s="1"/>
    </row>
    <row r="14" spans="2:182" ht="30.75" customHeight="1" x14ac:dyDescent="0.25">
      <c r="B14" s="209"/>
      <c r="C14" s="209"/>
      <c r="D14" s="14">
        <v>6</v>
      </c>
      <c r="E14" s="210"/>
      <c r="F14" s="172"/>
      <c r="G14" s="172"/>
      <c r="H14" s="172"/>
      <c r="I14" s="172"/>
      <c r="J14" s="172"/>
      <c r="K14" s="172"/>
      <c r="L14" s="172"/>
      <c r="M14" s="172"/>
      <c r="FY14" s="1"/>
      <c r="FZ14" s="1"/>
    </row>
    <row r="15" spans="2:182" ht="30.75" customHeight="1" thickBot="1" x14ac:dyDescent="0.3">
      <c r="B15" s="209"/>
      <c r="C15" s="209"/>
      <c r="D15" s="15">
        <v>7</v>
      </c>
      <c r="E15" s="216"/>
      <c r="F15" s="196"/>
      <c r="G15" s="196"/>
      <c r="H15" s="196"/>
      <c r="I15" s="196"/>
      <c r="J15" s="196"/>
      <c r="K15" s="196"/>
      <c r="L15" s="196"/>
      <c r="M15" s="196"/>
      <c r="FY15" s="1"/>
      <c r="FZ15" s="1"/>
    </row>
    <row r="16" spans="2:182" ht="30.75" customHeight="1" x14ac:dyDescent="0.25">
      <c r="E16" s="16"/>
      <c r="F16" s="16"/>
      <c r="G16" s="16"/>
      <c r="H16" s="16"/>
      <c r="I16" s="16"/>
      <c r="J16" s="16"/>
      <c r="K16" s="16"/>
      <c r="L16" s="16"/>
      <c r="M16" s="16"/>
      <c r="FY16" s="1"/>
      <c r="FZ16" s="1"/>
    </row>
    <row r="17" spans="2:182" ht="30.75" customHeight="1" x14ac:dyDescent="0.25">
      <c r="B17" s="212" t="s">
        <v>6</v>
      </c>
      <c r="C17" s="209"/>
      <c r="D17" s="14">
        <v>1</v>
      </c>
      <c r="E17" s="210"/>
      <c r="F17" s="172"/>
      <c r="G17" s="172"/>
      <c r="H17" s="172"/>
      <c r="I17" s="172"/>
      <c r="J17" s="172"/>
      <c r="K17" s="172"/>
      <c r="L17" s="172"/>
      <c r="M17" s="172"/>
      <c r="FY17" s="1"/>
      <c r="FZ17" s="1"/>
    </row>
    <row r="18" spans="2:182" ht="30.75" customHeight="1" x14ac:dyDescent="0.25">
      <c r="B18" s="209"/>
      <c r="C18" s="209"/>
      <c r="D18" s="14">
        <v>2</v>
      </c>
      <c r="E18" s="210"/>
      <c r="F18" s="172"/>
      <c r="G18" s="172"/>
      <c r="H18" s="172"/>
      <c r="I18" s="172"/>
      <c r="J18" s="172"/>
      <c r="K18" s="172"/>
      <c r="L18" s="172"/>
      <c r="M18" s="172"/>
      <c r="FY18" s="1"/>
      <c r="FZ18" s="1"/>
    </row>
    <row r="19" spans="2:182" ht="30.75" customHeight="1" x14ac:dyDescent="0.25">
      <c r="B19" s="209"/>
      <c r="C19" s="209"/>
      <c r="D19" s="14">
        <v>3</v>
      </c>
      <c r="E19" s="210"/>
      <c r="F19" s="172"/>
      <c r="G19" s="172"/>
      <c r="H19" s="172"/>
      <c r="I19" s="172"/>
      <c r="J19" s="172"/>
      <c r="K19" s="172"/>
      <c r="L19" s="172"/>
      <c r="M19" s="172"/>
      <c r="FY19" s="1"/>
      <c r="FZ19" s="1"/>
    </row>
    <row r="20" spans="2:182" ht="30.75" customHeight="1" x14ac:dyDescent="0.25">
      <c r="B20" s="209"/>
      <c r="C20" s="209"/>
      <c r="D20" s="14">
        <v>4</v>
      </c>
      <c r="E20" s="210"/>
      <c r="F20" s="172"/>
      <c r="G20" s="172"/>
      <c r="H20" s="172"/>
      <c r="I20" s="172"/>
      <c r="J20" s="172"/>
      <c r="K20" s="172"/>
      <c r="L20" s="172"/>
      <c r="M20" s="172"/>
      <c r="FY20" s="1"/>
      <c r="FZ20" s="1"/>
    </row>
    <row r="21" spans="2:182" ht="30.75" customHeight="1" x14ac:dyDescent="0.25">
      <c r="B21" s="209"/>
      <c r="C21" s="209"/>
      <c r="D21" s="14">
        <v>5</v>
      </c>
      <c r="E21" s="210"/>
      <c r="F21" s="172"/>
      <c r="G21" s="172"/>
      <c r="H21" s="172"/>
      <c r="I21" s="172"/>
      <c r="J21" s="172"/>
      <c r="K21" s="172"/>
      <c r="L21" s="172"/>
      <c r="M21" s="172"/>
      <c r="FY21" s="1"/>
      <c r="FZ21" s="1"/>
    </row>
    <row r="22" spans="2:182" ht="30.75" customHeight="1" x14ac:dyDescent="0.25">
      <c r="B22" s="209"/>
      <c r="C22" s="209"/>
      <c r="D22" s="14">
        <v>6</v>
      </c>
      <c r="E22" s="210"/>
      <c r="F22" s="172"/>
      <c r="G22" s="172"/>
      <c r="H22" s="172"/>
      <c r="I22" s="172"/>
      <c r="J22" s="172"/>
      <c r="K22" s="172"/>
      <c r="L22" s="172"/>
      <c r="M22" s="172"/>
      <c r="FY22" s="1"/>
      <c r="FZ22" s="1"/>
    </row>
    <row r="23" spans="2:182" ht="30.75" customHeight="1" thickBot="1" x14ac:dyDescent="0.3">
      <c r="B23" s="209"/>
      <c r="C23" s="209"/>
      <c r="D23" s="15">
        <v>7</v>
      </c>
      <c r="E23" s="216"/>
      <c r="F23" s="196"/>
      <c r="G23" s="196"/>
      <c r="H23" s="196"/>
      <c r="I23" s="196"/>
      <c r="J23" s="196"/>
      <c r="K23" s="196"/>
      <c r="L23" s="196"/>
      <c r="M23" s="196"/>
      <c r="FY23" s="1"/>
      <c r="FZ23" s="1"/>
    </row>
    <row r="24" spans="2:182" ht="30.75" customHeight="1" x14ac:dyDescent="0.25">
      <c r="E24" s="16"/>
      <c r="F24" s="16"/>
      <c r="G24" s="16"/>
      <c r="H24" s="16"/>
      <c r="I24" s="16"/>
      <c r="J24" s="16"/>
      <c r="K24" s="16"/>
      <c r="L24" s="16"/>
      <c r="M24" s="16"/>
      <c r="FY24" s="1"/>
      <c r="FZ24" s="1"/>
    </row>
    <row r="25" spans="2:182" ht="30.75" customHeight="1" x14ac:dyDescent="0.25">
      <c r="B25" s="212" t="s">
        <v>7</v>
      </c>
      <c r="C25" s="209"/>
      <c r="D25" s="14">
        <v>1</v>
      </c>
      <c r="E25" s="211"/>
      <c r="F25" s="172"/>
      <c r="G25" s="172"/>
      <c r="H25" s="172"/>
      <c r="I25" s="172"/>
      <c r="J25" s="172"/>
      <c r="K25" s="172"/>
      <c r="L25" s="172"/>
      <c r="M25" s="172"/>
      <c r="FY25" s="1"/>
      <c r="FZ25" s="1"/>
    </row>
    <row r="26" spans="2:182" ht="30.75" customHeight="1" x14ac:dyDescent="0.25">
      <c r="B26" s="209"/>
      <c r="C26" s="209"/>
      <c r="D26" s="14">
        <v>2</v>
      </c>
      <c r="E26" s="211"/>
      <c r="F26" s="172"/>
      <c r="G26" s="172"/>
      <c r="H26" s="172"/>
      <c r="I26" s="172"/>
      <c r="J26" s="172"/>
      <c r="K26" s="172"/>
      <c r="L26" s="172"/>
      <c r="M26" s="172"/>
      <c r="FY26" s="1"/>
      <c r="FZ26" s="1"/>
    </row>
    <row r="27" spans="2:182" ht="30.75" customHeight="1" x14ac:dyDescent="0.25">
      <c r="B27" s="209"/>
      <c r="C27" s="209"/>
      <c r="D27" s="14">
        <v>3</v>
      </c>
      <c r="E27" s="211"/>
      <c r="F27" s="172"/>
      <c r="G27" s="172"/>
      <c r="H27" s="172"/>
      <c r="I27" s="172"/>
      <c r="J27" s="172"/>
      <c r="K27" s="172"/>
      <c r="L27" s="172"/>
      <c r="M27" s="172"/>
      <c r="FY27" s="1"/>
      <c r="FZ27" s="1"/>
    </row>
    <row r="28" spans="2:182" ht="30.75" customHeight="1" x14ac:dyDescent="0.25">
      <c r="B28" s="209"/>
      <c r="C28" s="209"/>
      <c r="D28" s="14">
        <v>4</v>
      </c>
      <c r="E28" s="211"/>
      <c r="F28" s="172"/>
      <c r="G28" s="172"/>
      <c r="H28" s="172"/>
      <c r="I28" s="172"/>
      <c r="J28" s="172"/>
      <c r="K28" s="172"/>
      <c r="L28" s="172"/>
      <c r="M28" s="172"/>
      <c r="FY28" s="1"/>
      <c r="FZ28" s="1"/>
    </row>
    <row r="29" spans="2:182" ht="30.75" customHeight="1" x14ac:dyDescent="0.25">
      <c r="B29" s="209"/>
      <c r="C29" s="209"/>
      <c r="D29" s="14">
        <v>5</v>
      </c>
      <c r="E29" s="211"/>
      <c r="F29" s="172"/>
      <c r="G29" s="172"/>
      <c r="H29" s="172"/>
      <c r="I29" s="172"/>
      <c r="J29" s="172"/>
      <c r="K29" s="172"/>
      <c r="L29" s="172"/>
      <c r="M29" s="172"/>
      <c r="FY29" s="1"/>
      <c r="FZ29" s="1"/>
    </row>
    <row r="30" spans="2:182" ht="30.75" customHeight="1" x14ac:dyDescent="0.25">
      <c r="B30" s="209"/>
      <c r="C30" s="209"/>
      <c r="D30" s="14">
        <v>6</v>
      </c>
      <c r="E30" s="211"/>
      <c r="F30" s="172"/>
      <c r="G30" s="172"/>
      <c r="H30" s="172"/>
      <c r="I30" s="172"/>
      <c r="J30" s="172"/>
      <c r="K30" s="172"/>
      <c r="L30" s="172"/>
      <c r="M30" s="172"/>
      <c r="FY30" s="1"/>
      <c r="FZ30" s="1"/>
    </row>
    <row r="31" spans="2:182" ht="30.75" customHeight="1" thickBot="1" x14ac:dyDescent="0.3">
      <c r="B31" s="209"/>
      <c r="C31" s="209"/>
      <c r="D31" s="15">
        <v>7</v>
      </c>
      <c r="E31" s="218"/>
      <c r="F31" s="196"/>
      <c r="G31" s="196"/>
      <c r="H31" s="196"/>
      <c r="I31" s="196"/>
      <c r="J31" s="196"/>
      <c r="K31" s="196"/>
      <c r="L31" s="196"/>
      <c r="M31" s="196"/>
      <c r="FY31" s="1"/>
      <c r="FZ31" s="1"/>
    </row>
    <row r="32" spans="2:182" ht="30.75" customHeight="1" x14ac:dyDescent="0.25">
      <c r="E32" s="16"/>
      <c r="F32" s="16"/>
      <c r="G32" s="16"/>
      <c r="H32" s="16"/>
      <c r="I32" s="16"/>
      <c r="J32" s="16"/>
      <c r="K32" s="16"/>
      <c r="L32" s="16"/>
      <c r="M32" s="16"/>
      <c r="FY32" s="1"/>
      <c r="FZ32" s="1"/>
    </row>
    <row r="33" spans="2:182" ht="30.75" customHeight="1" x14ac:dyDescent="0.25">
      <c r="B33" s="217" t="s">
        <v>8</v>
      </c>
      <c r="C33" s="209"/>
      <c r="D33" s="14">
        <v>1</v>
      </c>
      <c r="E33" s="210"/>
      <c r="F33" s="172"/>
      <c r="G33" s="172"/>
      <c r="H33" s="172"/>
      <c r="I33" s="172"/>
      <c r="J33" s="172"/>
      <c r="K33" s="172"/>
      <c r="L33" s="172"/>
      <c r="M33" s="172"/>
      <c r="FY33" s="1"/>
      <c r="FZ33" s="1"/>
    </row>
    <row r="34" spans="2:182" ht="30.75" customHeight="1" x14ac:dyDescent="0.25">
      <c r="B34" s="209"/>
      <c r="C34" s="209"/>
      <c r="D34" s="14">
        <v>2</v>
      </c>
      <c r="E34" s="210"/>
      <c r="F34" s="172"/>
      <c r="G34" s="172"/>
      <c r="H34" s="172"/>
      <c r="I34" s="172"/>
      <c r="J34" s="172"/>
      <c r="K34" s="172"/>
      <c r="L34" s="172"/>
      <c r="M34" s="172"/>
      <c r="FY34" s="1"/>
      <c r="FZ34" s="1"/>
    </row>
    <row r="35" spans="2:182" ht="30.75" customHeight="1" x14ac:dyDescent="0.25">
      <c r="B35" s="209"/>
      <c r="C35" s="209"/>
      <c r="D35" s="14">
        <v>3</v>
      </c>
      <c r="E35" s="210"/>
      <c r="F35" s="172"/>
      <c r="G35" s="172"/>
      <c r="H35" s="172"/>
      <c r="I35" s="172"/>
      <c r="J35" s="172"/>
      <c r="K35" s="172"/>
      <c r="L35" s="172"/>
      <c r="M35" s="172"/>
      <c r="FY35" s="1"/>
      <c r="FZ35" s="1"/>
    </row>
    <row r="36" spans="2:182" ht="30.75" customHeight="1" x14ac:dyDescent="0.25">
      <c r="B36" s="209"/>
      <c r="C36" s="209"/>
      <c r="D36" s="14">
        <v>4</v>
      </c>
      <c r="E36" s="210"/>
      <c r="F36" s="172"/>
      <c r="G36" s="172"/>
      <c r="H36" s="172"/>
      <c r="I36" s="172"/>
      <c r="J36" s="172"/>
      <c r="K36" s="172"/>
      <c r="L36" s="172"/>
      <c r="M36" s="172"/>
      <c r="FY36" s="1"/>
      <c r="FZ36" s="1"/>
    </row>
    <row r="37" spans="2:182" ht="30.75" customHeight="1" x14ac:dyDescent="0.25">
      <c r="B37" s="209"/>
      <c r="C37" s="209"/>
      <c r="D37" s="14">
        <v>5</v>
      </c>
      <c r="E37" s="210"/>
      <c r="F37" s="172"/>
      <c r="G37" s="172"/>
      <c r="H37" s="172"/>
      <c r="I37" s="172"/>
      <c r="J37" s="172"/>
      <c r="K37" s="172"/>
      <c r="L37" s="172"/>
      <c r="M37" s="172"/>
      <c r="FY37" s="1"/>
      <c r="FZ37" s="1"/>
    </row>
    <row r="38" spans="2:182" ht="30.75" customHeight="1" x14ac:dyDescent="0.25">
      <c r="B38" s="209"/>
      <c r="C38" s="209"/>
      <c r="D38" s="14">
        <v>6</v>
      </c>
      <c r="E38" s="210"/>
      <c r="F38" s="172"/>
      <c r="G38" s="172"/>
      <c r="H38" s="172"/>
      <c r="I38" s="172"/>
      <c r="J38" s="172"/>
      <c r="K38" s="172"/>
      <c r="L38" s="172"/>
      <c r="M38" s="172"/>
      <c r="FY38" s="1"/>
      <c r="FZ38" s="1"/>
    </row>
    <row r="39" spans="2:182" ht="30.75" customHeight="1" thickBot="1" x14ac:dyDescent="0.3">
      <c r="B39" s="209"/>
      <c r="C39" s="209"/>
      <c r="D39" s="15">
        <v>7</v>
      </c>
      <c r="E39" s="216"/>
      <c r="F39" s="196"/>
      <c r="G39" s="196"/>
      <c r="H39" s="196"/>
      <c r="I39" s="196"/>
      <c r="J39" s="196"/>
      <c r="K39" s="196"/>
      <c r="L39" s="196"/>
      <c r="M39" s="196"/>
      <c r="FY39" s="1"/>
      <c r="FZ39" s="1"/>
    </row>
    <row r="40" spans="2:182" ht="30.75" customHeight="1" x14ac:dyDescent="0.25">
      <c r="FY40" s="1"/>
      <c r="FZ40" s="1"/>
    </row>
    <row r="41" spans="2:182" ht="30.75" customHeight="1" x14ac:dyDescent="0.25">
      <c r="B41" s="217" t="s">
        <v>9</v>
      </c>
      <c r="C41" s="209"/>
      <c r="D41" s="14">
        <v>1</v>
      </c>
      <c r="E41" s="210"/>
      <c r="F41" s="172"/>
      <c r="G41" s="172"/>
      <c r="H41" s="172"/>
      <c r="I41" s="172"/>
      <c r="J41" s="172"/>
      <c r="K41" s="172"/>
      <c r="L41" s="172"/>
      <c r="M41" s="172"/>
      <c r="FY41" s="1"/>
      <c r="FZ41" s="1"/>
    </row>
    <row r="42" spans="2:182" ht="30.75" customHeight="1" x14ac:dyDescent="0.25">
      <c r="B42" s="209"/>
      <c r="C42" s="209"/>
      <c r="D42" s="14">
        <v>2</v>
      </c>
      <c r="E42" s="210"/>
      <c r="F42" s="172"/>
      <c r="G42" s="172"/>
      <c r="H42" s="172"/>
      <c r="I42" s="172"/>
      <c r="J42" s="172"/>
      <c r="K42" s="172"/>
      <c r="L42" s="172"/>
      <c r="M42" s="172"/>
      <c r="FY42" s="1"/>
      <c r="FZ42" s="1"/>
    </row>
    <row r="43" spans="2:182" ht="30.75" customHeight="1" x14ac:dyDescent="0.25">
      <c r="B43" s="209"/>
      <c r="C43" s="209"/>
      <c r="D43" s="14">
        <v>3</v>
      </c>
      <c r="E43" s="210"/>
      <c r="F43" s="172"/>
      <c r="G43" s="172"/>
      <c r="H43" s="172"/>
      <c r="I43" s="172"/>
      <c r="J43" s="172"/>
      <c r="K43" s="172"/>
      <c r="L43" s="172"/>
      <c r="M43" s="172"/>
      <c r="FY43" s="1"/>
      <c r="FZ43" s="1"/>
    </row>
    <row r="44" spans="2:182" ht="30.75" customHeight="1" x14ac:dyDescent="0.25">
      <c r="B44" s="209"/>
      <c r="C44" s="209"/>
      <c r="D44" s="14">
        <v>4</v>
      </c>
      <c r="E44" s="210"/>
      <c r="F44" s="172"/>
      <c r="G44" s="172"/>
      <c r="H44" s="172"/>
      <c r="I44" s="172"/>
      <c r="J44" s="172"/>
      <c r="K44" s="172"/>
      <c r="L44" s="172"/>
      <c r="M44" s="172"/>
      <c r="FY44" s="1"/>
      <c r="FZ44" s="1"/>
    </row>
    <row r="45" spans="2:182" ht="30.75" customHeight="1" x14ac:dyDescent="0.25">
      <c r="B45" s="209"/>
      <c r="C45" s="209"/>
      <c r="D45" s="14">
        <v>5</v>
      </c>
      <c r="E45" s="210"/>
      <c r="F45" s="172"/>
      <c r="G45" s="172"/>
      <c r="H45" s="172"/>
      <c r="I45" s="172"/>
      <c r="J45" s="172"/>
      <c r="K45" s="172"/>
      <c r="L45" s="172"/>
      <c r="M45" s="172"/>
      <c r="FY45" s="1"/>
      <c r="FZ45" s="1"/>
    </row>
    <row r="46" spans="2:182" ht="30.75" customHeight="1" x14ac:dyDescent="0.25">
      <c r="B46" s="209"/>
      <c r="C46" s="209"/>
      <c r="D46" s="14">
        <v>6</v>
      </c>
      <c r="E46" s="210"/>
      <c r="F46" s="172"/>
      <c r="G46" s="172"/>
      <c r="H46" s="172"/>
      <c r="I46" s="172"/>
      <c r="J46" s="172"/>
      <c r="K46" s="172"/>
      <c r="L46" s="172"/>
      <c r="M46" s="172"/>
      <c r="FY46" s="1"/>
      <c r="FZ46" s="1"/>
    </row>
    <row r="47" spans="2:182" ht="30.75" customHeight="1" thickBot="1" x14ac:dyDescent="0.3">
      <c r="B47" s="209"/>
      <c r="C47" s="209"/>
      <c r="D47" s="15">
        <v>7</v>
      </c>
      <c r="E47" s="216"/>
      <c r="F47" s="196"/>
      <c r="G47" s="196"/>
      <c r="H47" s="196"/>
      <c r="I47" s="196"/>
      <c r="J47" s="196"/>
      <c r="K47" s="196"/>
      <c r="L47" s="196"/>
      <c r="M47" s="196"/>
      <c r="FY47" s="1"/>
      <c r="FZ47" s="1"/>
    </row>
    <row r="48" spans="2:18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</sheetData>
  <mergeCells count="48">
    <mergeCell ref="B33:C39"/>
    <mergeCell ref="E10:M10"/>
    <mergeCell ref="E28:M28"/>
    <mergeCell ref="E34:M34"/>
    <mergeCell ref="E35:M35"/>
    <mergeCell ref="E39:M39"/>
    <mergeCell ref="B9:C15"/>
    <mergeCell ref="J3:M3"/>
    <mergeCell ref="E13:M13"/>
    <mergeCell ref="E9:M9"/>
    <mergeCell ref="E31:M31"/>
    <mergeCell ref="E30:M30"/>
    <mergeCell ref="J4:M4"/>
    <mergeCell ref="E20:M20"/>
    <mergeCell ref="E29:M29"/>
    <mergeCell ref="E19:M19"/>
    <mergeCell ref="E46:M46"/>
    <mergeCell ref="E15:M15"/>
    <mergeCell ref="E11:M11"/>
    <mergeCell ref="B25:C31"/>
    <mergeCell ref="E27:M27"/>
    <mergeCell ref="B41:C47"/>
    <mergeCell ref="E45:M45"/>
    <mergeCell ref="E36:M36"/>
    <mergeCell ref="E41:M41"/>
    <mergeCell ref="E47:M47"/>
    <mergeCell ref="E43:M43"/>
    <mergeCell ref="E42:M42"/>
    <mergeCell ref="E23:M23"/>
    <mergeCell ref="E14:M14"/>
    <mergeCell ref="E17:M17"/>
    <mergeCell ref="E44:M44"/>
    <mergeCell ref="B2:C6"/>
    <mergeCell ref="E38:M38"/>
    <mergeCell ref="E26:M26"/>
    <mergeCell ref="J5:M5"/>
    <mergeCell ref="G2:G6"/>
    <mergeCell ref="E25:M25"/>
    <mergeCell ref="B17:C23"/>
    <mergeCell ref="E37:M37"/>
    <mergeCell ref="E22:M22"/>
    <mergeCell ref="E18:M18"/>
    <mergeCell ref="J6:M6"/>
    <mergeCell ref="E21:M21"/>
    <mergeCell ref="E12:M12"/>
    <mergeCell ref="B7:M7"/>
    <mergeCell ref="E33:M33"/>
    <mergeCell ref="D2:F6"/>
  </mergeCells>
  <dataValidations count="1">
    <dataValidation type="list" allowBlank="1" sqref="J6" xr:uid="{00000000-0002-0000-0100-000000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88"/>
  <sheetViews>
    <sheetView tabSelected="1" topLeftCell="A24" workbookViewId="0">
      <selection activeCell="C36" sqref="C36"/>
    </sheetView>
  </sheetViews>
  <sheetFormatPr baseColWidth="10" defaultColWidth="0" defaultRowHeight="15.75" zeroHeight="1" x14ac:dyDescent="0.25"/>
  <cols>
    <col min="1" max="1" width="3.5703125" style="20" customWidth="1"/>
    <col min="2" max="2" width="12.5703125" style="20" customWidth="1"/>
    <col min="3" max="3" width="39.7109375" style="20" customWidth="1"/>
    <col min="4" max="4" width="12.5703125" style="20" customWidth="1"/>
    <col min="5" max="5" width="14.5703125" style="20" customWidth="1"/>
    <col min="6" max="12" width="12.5703125" style="20" customWidth="1"/>
    <col min="13" max="15" width="14.85546875" style="20" customWidth="1"/>
    <col min="16" max="16" width="15.140625" style="20" customWidth="1"/>
    <col min="17" max="17" width="3.5703125" style="20" customWidth="1"/>
    <col min="18" max="25" width="15.140625" style="20" hidden="1" customWidth="1"/>
    <col min="26" max="183" width="4.42578125" style="20" hidden="1" customWidth="1"/>
    <col min="184" max="16382" width="0" style="20" hidden="1"/>
    <col min="16383" max="16384" width="4" style="20" hidden="1" customWidth="1"/>
  </cols>
  <sheetData>
    <row r="1" spans="2:16" ht="15.75" customHeight="1" x14ac:dyDescent="0.25">
      <c r="B1" s="18"/>
      <c r="C1" s="18"/>
      <c r="D1" s="18"/>
      <c r="E1" s="18"/>
      <c r="F1" s="18"/>
      <c r="G1" s="18"/>
      <c r="H1" s="179" t="s">
        <v>0</v>
      </c>
      <c r="I1" s="165"/>
      <c r="J1" s="165"/>
      <c r="K1" s="165"/>
      <c r="L1" s="165"/>
      <c r="M1" s="165"/>
      <c r="N1" s="19"/>
    </row>
    <row r="2" spans="2:16" ht="15.75" customHeight="1" x14ac:dyDescent="0.25">
      <c r="B2" s="164" t="e">
        <v>#VALUE!</v>
      </c>
      <c r="C2" s="165"/>
      <c r="D2" s="164" t="e">
        <v>#VALUE!</v>
      </c>
      <c r="E2" s="165"/>
      <c r="F2" s="165"/>
      <c r="G2" s="165"/>
      <c r="H2" s="18"/>
    </row>
    <row r="3" spans="2:16" ht="15.75" customHeight="1" x14ac:dyDescent="0.25">
      <c r="B3" s="165"/>
      <c r="C3" s="165"/>
      <c r="D3" s="165"/>
      <c r="E3" s="165"/>
      <c r="F3" s="165"/>
      <c r="G3" s="165"/>
      <c r="H3" s="180" t="s">
        <v>1</v>
      </c>
      <c r="I3" s="181"/>
      <c r="J3" s="182" t="str">
        <f>IF(ficha_alum!K3 = "", "", ficha_alum!K3)</f>
        <v/>
      </c>
      <c r="K3" s="172"/>
      <c r="L3" s="172"/>
      <c r="M3" s="172"/>
    </row>
    <row r="4" spans="2:16" ht="15.75" customHeight="1" x14ac:dyDescent="0.25">
      <c r="B4" s="165"/>
      <c r="C4" s="165"/>
      <c r="D4" s="165"/>
      <c r="E4" s="165"/>
      <c r="F4" s="165"/>
      <c r="G4" s="165"/>
      <c r="H4" s="183" t="s">
        <v>2</v>
      </c>
      <c r="I4" s="184"/>
      <c r="J4" s="182" t="str">
        <f>IF(ficha_alum!K4 = "", "", ficha_alum!K4)</f>
        <v/>
      </c>
      <c r="K4" s="172"/>
      <c r="L4" s="172"/>
      <c r="M4" s="172"/>
    </row>
    <row r="5" spans="2:16" ht="15.75" customHeight="1" x14ac:dyDescent="0.25">
      <c r="B5" s="165"/>
      <c r="C5" s="165"/>
      <c r="D5" s="165"/>
      <c r="E5" s="165"/>
      <c r="F5" s="165"/>
      <c r="G5" s="165"/>
      <c r="H5" s="180" t="s">
        <v>3</v>
      </c>
      <c r="I5" s="181"/>
      <c r="J5" s="182" t="str">
        <f>IF(ficha_alum!K5 = "", "", ficha_alum!K5)</f>
        <v/>
      </c>
      <c r="K5" s="172"/>
      <c r="L5" s="172"/>
      <c r="M5" s="172"/>
    </row>
    <row r="6" spans="2:16" ht="15" customHeight="1" thickBot="1" x14ac:dyDescent="0.3">
      <c r="B6" s="165"/>
      <c r="C6" s="165"/>
      <c r="D6" s="165"/>
      <c r="E6" s="165"/>
      <c r="F6" s="165"/>
      <c r="G6" s="165"/>
      <c r="H6" s="185" t="s">
        <v>10</v>
      </c>
      <c r="I6" s="186"/>
      <c r="J6" s="195" t="s">
        <v>11</v>
      </c>
      <c r="K6" s="196"/>
      <c r="L6" s="196"/>
      <c r="M6" s="196"/>
    </row>
    <row r="7" spans="2:16" ht="17.25" customHeight="1" x14ac:dyDescent="0.25">
      <c r="B7" s="18"/>
      <c r="C7" s="18"/>
      <c r="D7" s="18"/>
      <c r="E7" s="18"/>
      <c r="F7" s="18"/>
      <c r="G7" s="18"/>
      <c r="H7" s="188" t="s">
        <v>12</v>
      </c>
      <c r="I7" s="165"/>
      <c r="J7" s="189">
        <v>45901</v>
      </c>
      <c r="K7" s="177"/>
      <c r="L7" s="177"/>
      <c r="M7" s="177"/>
    </row>
    <row r="8" spans="2:16" ht="27" customHeight="1" x14ac:dyDescent="0.25"/>
    <row r="9" spans="2:16" s="22" customFormat="1" ht="27" customHeight="1" x14ac:dyDescent="0.25">
      <c r="B9" s="187" t="s">
        <v>13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70"/>
    </row>
    <row r="10" spans="2:16" x14ac:dyDescent="0.25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2:16" ht="27" customHeight="1" x14ac:dyDescent="0.25">
      <c r="B11" s="173" t="s">
        <v>14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</row>
    <row r="12" spans="2:16" ht="60" customHeight="1" x14ac:dyDescent="0.25">
      <c r="B12" s="178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</row>
    <row r="13" spans="2:16" ht="27" customHeight="1" x14ac:dyDescent="0.25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2:16" ht="27" customHeight="1" x14ac:dyDescent="0.25">
      <c r="B14" s="173" t="s">
        <v>15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</row>
    <row r="15" spans="2:16" ht="60" customHeight="1" x14ac:dyDescent="0.25">
      <c r="B15" s="178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</row>
    <row r="16" spans="2:16" ht="27" customHeight="1" x14ac:dyDescent="0.25"/>
    <row r="17" spans="2:16" ht="27" customHeight="1" x14ac:dyDescent="0.25">
      <c r="B17" s="192" t="s">
        <v>16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  <row r="18" spans="2:16" ht="60" customHeight="1" x14ac:dyDescent="0.25">
      <c r="B18" s="178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</row>
    <row r="19" spans="2:16" ht="27" customHeight="1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2:16" s="22" customFormat="1" ht="27" customHeight="1" x14ac:dyDescent="0.25">
      <c r="B20" s="187" t="s">
        <v>17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</row>
    <row r="21" spans="2:16" ht="27" customHeight="1" x14ac:dyDescent="0.25">
      <c r="B21" s="24" t="s">
        <v>18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2:16" ht="27" customHeight="1" x14ac:dyDescent="0.25">
      <c r="B22" s="178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</row>
    <row r="23" spans="2:16" ht="27" customHeight="1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2:16" ht="27" customHeight="1" x14ac:dyDescent="0.25">
      <c r="B24" s="187" t="s">
        <v>19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70"/>
    </row>
    <row r="25" spans="2:16" x14ac:dyDescent="0.25">
      <c r="C25" s="26"/>
      <c r="I25" s="27"/>
      <c r="J25" s="27"/>
      <c r="K25" s="27"/>
      <c r="L25" s="27"/>
      <c r="M25" s="27"/>
    </row>
    <row r="26" spans="2:16" s="27" customFormat="1" ht="15" customHeight="1" x14ac:dyDescent="0.25">
      <c r="B26" s="194" t="s">
        <v>20</v>
      </c>
      <c r="C26" s="175"/>
      <c r="D26" s="175"/>
      <c r="E26" s="175"/>
      <c r="F26" s="28"/>
      <c r="G26" s="194" t="s">
        <v>21</v>
      </c>
      <c r="H26" s="175"/>
      <c r="I26" s="175"/>
      <c r="J26" s="175"/>
      <c r="K26" s="175"/>
      <c r="L26" s="29"/>
      <c r="M26" s="197" t="s">
        <v>22</v>
      </c>
      <c r="N26" s="175"/>
      <c r="O26" s="30">
        <f>COUNTIFS($C$36:$C$75,"&lt;&gt;",$D$36:$D$75,"&lt;&gt;Baixa")</f>
        <v>40</v>
      </c>
      <c r="P26" s="31" t="s">
        <v>23</v>
      </c>
    </row>
    <row r="27" spans="2:16" s="27" customFormat="1" ht="15" customHeight="1" x14ac:dyDescent="0.25">
      <c r="B27" s="190" t="s">
        <v>24</v>
      </c>
      <c r="C27" s="167"/>
      <c r="D27" s="32">
        <v>0</v>
      </c>
      <c r="E27" s="33">
        <f>IFERROR(D27/$O$26,"-")</f>
        <v>0</v>
      </c>
      <c r="F27" s="166" t="s">
        <v>25</v>
      </c>
      <c r="G27" s="167"/>
      <c r="H27" s="167"/>
      <c r="I27" s="167"/>
      <c r="J27" s="32">
        <v>0</v>
      </c>
      <c r="K27" s="33">
        <f>IFERROR(J27/$O$26,"-")</f>
        <v>0</v>
      </c>
      <c r="M27" s="174" t="s">
        <v>26</v>
      </c>
      <c r="N27" s="175"/>
      <c r="O27" s="30">
        <f>COUNTIFS($D$36:$D$75,"Baixa")</f>
        <v>0</v>
      </c>
      <c r="P27" s="34">
        <f>IFERROR(O27/$O$26,"-")</f>
        <v>0</v>
      </c>
    </row>
    <row r="28" spans="2:16" s="27" customFormat="1" ht="15" customHeight="1" x14ac:dyDescent="0.25">
      <c r="B28" s="190" t="s">
        <v>27</v>
      </c>
      <c r="C28" s="167"/>
      <c r="D28" s="32">
        <v>0</v>
      </c>
      <c r="E28" s="33">
        <f>IFERROR(D28/$O$26,"-")</f>
        <v>0</v>
      </c>
      <c r="F28" s="166" t="s">
        <v>28</v>
      </c>
      <c r="G28" s="167"/>
      <c r="H28" s="167"/>
      <c r="I28" s="167"/>
      <c r="J28" s="32">
        <v>0</v>
      </c>
      <c r="K28" s="33">
        <f>IFERROR(J28/$O$26,"-")</f>
        <v>0</v>
      </c>
      <c r="M28" s="174" t="s">
        <v>29</v>
      </c>
      <c r="N28" s="175"/>
      <c r="O28" s="32">
        <v>0</v>
      </c>
      <c r="P28" s="33">
        <f>IFERROR(O28/$O$26,"-")</f>
        <v>0</v>
      </c>
    </row>
    <row r="29" spans="2:16" s="27" customFormat="1" ht="15" customHeight="1" thickBot="1" x14ac:dyDescent="0.3">
      <c r="B29" s="190" t="s">
        <v>30</v>
      </c>
      <c r="C29" s="167"/>
      <c r="D29" s="32">
        <v>0</v>
      </c>
      <c r="E29" s="33">
        <f>IFERROR(D29/$O$26,"-")</f>
        <v>0</v>
      </c>
      <c r="F29" s="166" t="s">
        <v>31</v>
      </c>
      <c r="G29" s="167"/>
      <c r="H29" s="167"/>
      <c r="I29" s="167"/>
      <c r="J29" s="35">
        <v>0</v>
      </c>
      <c r="K29" s="36">
        <f>IFERROR(J29/$O$26,"-")</f>
        <v>0</v>
      </c>
      <c r="M29" s="174" t="s">
        <v>32</v>
      </c>
      <c r="N29" s="175"/>
      <c r="O29" s="30">
        <f>COUNTIFS($C$36:$C$75,"&lt;&gt;",$D$36:$D$75,"&lt;&gt;Baixa",$K$36:$K$75,"Sí")</f>
        <v>0</v>
      </c>
      <c r="P29" s="33">
        <f>IFERROR(O29/$O$26,"-")</f>
        <v>0</v>
      </c>
    </row>
    <row r="30" spans="2:16" s="27" customFormat="1" ht="15" customHeight="1" thickBot="1" x14ac:dyDescent="0.3">
      <c r="B30" s="190" t="s">
        <v>33</v>
      </c>
      <c r="C30" s="167"/>
      <c r="D30" s="35">
        <v>0</v>
      </c>
      <c r="E30" s="36">
        <f>IFERROR(D30/$O$26,"-")</f>
        <v>0</v>
      </c>
      <c r="F30" s="28"/>
      <c r="G30" s="28"/>
      <c r="H30" s="28"/>
      <c r="I30" s="28"/>
      <c r="J30" s="176" t="s">
        <v>34</v>
      </c>
      <c r="K30" s="177"/>
      <c r="L30" s="28"/>
      <c r="M30" s="174" t="s">
        <v>35</v>
      </c>
      <c r="N30" s="175"/>
      <c r="O30" s="30">
        <f>COUNTIFS($C$36:$C$75,"&lt;&gt;",$D$36:$D$75,"&lt;&gt;Baixa",$I$36:$I$75,"Sí")</f>
        <v>0</v>
      </c>
      <c r="P30" s="33">
        <f>IFERROR(O30/$O$26,"-")</f>
        <v>0</v>
      </c>
    </row>
    <row r="31" spans="2:16" ht="15" customHeight="1" thickBot="1" x14ac:dyDescent="0.3">
      <c r="B31" s="23"/>
      <c r="C31" s="23"/>
      <c r="D31" s="176" t="s">
        <v>34</v>
      </c>
      <c r="E31" s="177"/>
      <c r="F31" s="23"/>
      <c r="G31" s="23"/>
      <c r="H31" s="23"/>
      <c r="I31" s="23"/>
      <c r="J31" s="23"/>
      <c r="K31" s="23"/>
      <c r="L31" s="23"/>
      <c r="M31" s="174" t="s">
        <v>36</v>
      </c>
      <c r="N31" s="175"/>
      <c r="O31" s="37">
        <f>COUNTIFS($C$36:$C$75,"&lt;&gt;",$D$36:$D$75,"&lt;&gt;Baixa",$J$36:$J$75,"Sí")</f>
        <v>0</v>
      </c>
      <c r="P31" s="36">
        <f>IFERROR(O31/$O$26,"-")</f>
        <v>0</v>
      </c>
    </row>
    <row r="32" spans="2:16" ht="27" customHeight="1" x14ac:dyDescent="0.25"/>
    <row r="33" spans="1:16" s="22" customFormat="1" ht="21" customHeight="1" x14ac:dyDescent="0.25">
      <c r="B33" s="187" t="s">
        <v>37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70"/>
    </row>
    <row r="34" spans="1:16" x14ac:dyDescent="0.25">
      <c r="C34" s="26"/>
      <c r="I34" s="27"/>
      <c r="J34" s="27"/>
      <c r="K34" s="27"/>
      <c r="L34" s="27"/>
      <c r="M34" s="27"/>
    </row>
    <row r="35" spans="1:16" s="38" customFormat="1" ht="27" customHeight="1" x14ac:dyDescent="0.25">
      <c r="B35" s="39" t="s">
        <v>38</v>
      </c>
      <c r="C35" s="39" t="s">
        <v>39</v>
      </c>
      <c r="D35" s="40" t="s">
        <v>40</v>
      </c>
      <c r="E35" s="41" t="s">
        <v>41</v>
      </c>
      <c r="F35" s="41" t="s">
        <v>42</v>
      </c>
      <c r="G35" s="41" t="s">
        <v>43</v>
      </c>
      <c r="H35" s="41" t="s">
        <v>44</v>
      </c>
      <c r="I35" s="41" t="s">
        <v>45</v>
      </c>
      <c r="J35" s="41" t="s">
        <v>46</v>
      </c>
      <c r="K35" s="41" t="s">
        <v>47</v>
      </c>
      <c r="L35" s="41" t="s">
        <v>48</v>
      </c>
      <c r="M35" s="198" t="s">
        <v>49</v>
      </c>
      <c r="N35" s="172"/>
      <c r="O35" s="172"/>
      <c r="P35" s="172"/>
    </row>
    <row r="36" spans="1:16" ht="33" customHeight="1" x14ac:dyDescent="0.25">
      <c r="A36" s="21">
        <v>1</v>
      </c>
      <c r="B36" s="39" t="str">
        <f>IF(ficha_alum!B9="","",ficha_alum!B9)</f>
        <v/>
      </c>
      <c r="C36" s="42" t="str">
        <f>_xlfn.TEXTJOIN(", ",TRUE,_xlfn.TEXTJOIN(" ",TRUE,ficha_alum!D9,ficha_alum!E9),ficha_alum!C9)</f>
        <v/>
      </c>
      <c r="D36" s="39" t="s">
        <v>160</v>
      </c>
      <c r="E36" s="43" t="str">
        <f>IF(ficha_alum!F9="","",ficha_alum!F9)</f>
        <v/>
      </c>
      <c r="F36" s="44" t="s">
        <v>50</v>
      </c>
      <c r="G36" s="44" t="s">
        <v>50</v>
      </c>
      <c r="H36" s="44" t="s">
        <v>50</v>
      </c>
      <c r="I36" s="44" t="s">
        <v>50</v>
      </c>
      <c r="J36" s="44" t="s">
        <v>50</v>
      </c>
      <c r="K36" s="44" t="s">
        <v>50</v>
      </c>
      <c r="L36" s="44"/>
      <c r="M36" s="171"/>
      <c r="N36" s="172"/>
      <c r="O36" s="172"/>
      <c r="P36" s="172"/>
    </row>
    <row r="37" spans="1:16" ht="33" customHeight="1" x14ac:dyDescent="0.25">
      <c r="A37" s="21">
        <v>2</v>
      </c>
      <c r="B37" s="39" t="str">
        <f>IF(ficha_alum!B10="","",ficha_alum!B10)</f>
        <v/>
      </c>
      <c r="C37" s="42" t="str">
        <f>_xlfn.TEXTJOIN(", ",TRUE,_xlfn.TEXTJOIN(" ",TRUE,ficha_alum!D10,ficha_alum!E10),ficha_alum!C10)</f>
        <v/>
      </c>
      <c r="D37" s="39" t="s">
        <v>160</v>
      </c>
      <c r="E37" s="43" t="str">
        <f>IF(ficha_alum!F10="","",ficha_alum!F10)</f>
        <v/>
      </c>
      <c r="F37" s="44" t="s">
        <v>50</v>
      </c>
      <c r="G37" s="44" t="s">
        <v>50</v>
      </c>
      <c r="H37" s="44" t="s">
        <v>50</v>
      </c>
      <c r="I37" s="44" t="s">
        <v>50</v>
      </c>
      <c r="J37" s="44" t="s">
        <v>50</v>
      </c>
      <c r="K37" s="44" t="s">
        <v>50</v>
      </c>
      <c r="L37" s="44"/>
      <c r="M37" s="171"/>
      <c r="N37" s="172"/>
      <c r="O37" s="172"/>
      <c r="P37" s="172"/>
    </row>
    <row r="38" spans="1:16" ht="33" customHeight="1" x14ac:dyDescent="0.25">
      <c r="A38" s="21">
        <v>3</v>
      </c>
      <c r="B38" s="39" t="str">
        <f>IF(ficha_alum!B11="","",ficha_alum!B11)</f>
        <v/>
      </c>
      <c r="C38" s="42" t="str">
        <f>_xlfn.TEXTJOIN(", ",TRUE,_xlfn.TEXTJOIN(" ",TRUE,ficha_alum!D11,ficha_alum!E11),ficha_alum!C11)</f>
        <v/>
      </c>
      <c r="D38" s="39" t="s">
        <v>160</v>
      </c>
      <c r="E38" s="43" t="str">
        <f>IF(ficha_alum!F11="","",ficha_alum!F11)</f>
        <v/>
      </c>
      <c r="F38" s="44" t="s">
        <v>50</v>
      </c>
      <c r="G38" s="44" t="s">
        <v>50</v>
      </c>
      <c r="H38" s="44" t="s">
        <v>50</v>
      </c>
      <c r="I38" s="44" t="s">
        <v>50</v>
      </c>
      <c r="J38" s="44" t="s">
        <v>50</v>
      </c>
      <c r="K38" s="44" t="s">
        <v>50</v>
      </c>
      <c r="L38" s="44"/>
      <c r="M38" s="171"/>
      <c r="N38" s="172"/>
      <c r="O38" s="172"/>
      <c r="P38" s="172"/>
    </row>
    <row r="39" spans="1:16" ht="33" customHeight="1" x14ac:dyDescent="0.25">
      <c r="A39" s="21">
        <v>4</v>
      </c>
      <c r="B39" s="39" t="str">
        <f>IF(ficha_alum!B12="","",ficha_alum!B12)</f>
        <v/>
      </c>
      <c r="C39" s="42" t="str">
        <f>_xlfn.TEXTJOIN(", ",TRUE,_xlfn.TEXTJOIN(" ",TRUE,ficha_alum!D12,ficha_alum!E12),ficha_alum!C12)</f>
        <v/>
      </c>
      <c r="D39" s="39" t="s">
        <v>160</v>
      </c>
      <c r="E39" s="43" t="str">
        <f>IF(ficha_alum!F12="","",ficha_alum!F12)</f>
        <v/>
      </c>
      <c r="F39" s="44" t="s">
        <v>50</v>
      </c>
      <c r="G39" s="44" t="s">
        <v>50</v>
      </c>
      <c r="H39" s="44" t="s">
        <v>50</v>
      </c>
      <c r="I39" s="44" t="s">
        <v>50</v>
      </c>
      <c r="J39" s="44" t="s">
        <v>50</v>
      </c>
      <c r="K39" s="44" t="s">
        <v>50</v>
      </c>
      <c r="L39" s="44"/>
      <c r="M39" s="171"/>
      <c r="N39" s="172"/>
      <c r="O39" s="172"/>
      <c r="P39" s="172"/>
    </row>
    <row r="40" spans="1:16" ht="33" customHeight="1" x14ac:dyDescent="0.25">
      <c r="A40" s="21">
        <v>5</v>
      </c>
      <c r="B40" s="39" t="str">
        <f>IF(ficha_alum!B13="","",ficha_alum!B13)</f>
        <v/>
      </c>
      <c r="C40" s="42" t="str">
        <f>_xlfn.TEXTJOIN(", ",TRUE,_xlfn.TEXTJOIN(" ",TRUE,ficha_alum!D13,ficha_alum!E13),ficha_alum!C13)</f>
        <v/>
      </c>
      <c r="D40" s="39" t="s">
        <v>160</v>
      </c>
      <c r="E40" s="43" t="str">
        <f>IF(ficha_alum!F13="","",ficha_alum!F13)</f>
        <v/>
      </c>
      <c r="F40" s="44" t="s">
        <v>50</v>
      </c>
      <c r="G40" s="44" t="s">
        <v>50</v>
      </c>
      <c r="H40" s="44" t="s">
        <v>50</v>
      </c>
      <c r="I40" s="44" t="s">
        <v>50</v>
      </c>
      <c r="J40" s="44" t="s">
        <v>50</v>
      </c>
      <c r="K40" s="44" t="s">
        <v>50</v>
      </c>
      <c r="L40" s="44"/>
      <c r="M40" s="171"/>
      <c r="N40" s="172"/>
      <c r="O40" s="172"/>
      <c r="P40" s="172"/>
    </row>
    <row r="41" spans="1:16" ht="33" customHeight="1" x14ac:dyDescent="0.25">
      <c r="A41" s="21">
        <v>6</v>
      </c>
      <c r="B41" s="39" t="str">
        <f>IF(ficha_alum!B14="","",ficha_alum!B14)</f>
        <v/>
      </c>
      <c r="C41" s="42" t="str">
        <f>_xlfn.TEXTJOIN(", ",TRUE,_xlfn.TEXTJOIN(" ",TRUE,ficha_alum!D14,ficha_alum!E14),ficha_alum!C14)</f>
        <v/>
      </c>
      <c r="D41" s="39" t="s">
        <v>160</v>
      </c>
      <c r="E41" s="43" t="str">
        <f>IF(ficha_alum!F14="","",ficha_alum!F14)</f>
        <v/>
      </c>
      <c r="F41" s="44" t="s">
        <v>50</v>
      </c>
      <c r="G41" s="44" t="s">
        <v>50</v>
      </c>
      <c r="H41" s="44" t="s">
        <v>50</v>
      </c>
      <c r="I41" s="44" t="s">
        <v>50</v>
      </c>
      <c r="J41" s="44" t="s">
        <v>50</v>
      </c>
      <c r="K41" s="44" t="s">
        <v>50</v>
      </c>
      <c r="L41" s="44"/>
      <c r="M41" s="171"/>
      <c r="N41" s="172"/>
      <c r="O41" s="172"/>
      <c r="P41" s="172"/>
    </row>
    <row r="42" spans="1:16" ht="33" customHeight="1" x14ac:dyDescent="0.25">
      <c r="A42" s="21">
        <v>7</v>
      </c>
      <c r="B42" s="39" t="str">
        <f>IF(ficha_alum!B15="","",ficha_alum!B15)</f>
        <v/>
      </c>
      <c r="C42" s="42" t="str">
        <f>_xlfn.TEXTJOIN(", ",TRUE,_xlfn.TEXTJOIN(" ",TRUE,ficha_alum!D15,ficha_alum!E15),ficha_alum!C15)</f>
        <v/>
      </c>
      <c r="D42" s="39" t="s">
        <v>160</v>
      </c>
      <c r="E42" s="43" t="str">
        <f>IF(ficha_alum!F15="","",ficha_alum!F15)</f>
        <v/>
      </c>
      <c r="F42" s="44" t="s">
        <v>50</v>
      </c>
      <c r="G42" s="44" t="s">
        <v>50</v>
      </c>
      <c r="H42" s="44" t="s">
        <v>50</v>
      </c>
      <c r="I42" s="44" t="s">
        <v>50</v>
      </c>
      <c r="J42" s="44" t="s">
        <v>50</v>
      </c>
      <c r="K42" s="44" t="s">
        <v>50</v>
      </c>
      <c r="L42" s="44"/>
      <c r="M42" s="171"/>
      <c r="N42" s="172"/>
      <c r="O42" s="172"/>
      <c r="P42" s="172"/>
    </row>
    <row r="43" spans="1:16" ht="33" customHeight="1" x14ac:dyDescent="0.25">
      <c r="A43" s="21">
        <v>8</v>
      </c>
      <c r="B43" s="39" t="str">
        <f>IF(ficha_alum!B16="","",ficha_alum!B16)</f>
        <v/>
      </c>
      <c r="C43" s="42" t="str">
        <f>_xlfn.TEXTJOIN(", ",TRUE,_xlfn.TEXTJOIN(" ",TRUE,ficha_alum!D16,ficha_alum!E16),ficha_alum!C16)</f>
        <v/>
      </c>
      <c r="D43" s="39" t="s">
        <v>160</v>
      </c>
      <c r="E43" s="43" t="str">
        <f>IF(ficha_alum!F16="","",ficha_alum!F16)</f>
        <v/>
      </c>
      <c r="F43" s="44" t="s">
        <v>50</v>
      </c>
      <c r="G43" s="44" t="s">
        <v>50</v>
      </c>
      <c r="H43" s="44" t="s">
        <v>50</v>
      </c>
      <c r="I43" s="44" t="s">
        <v>50</v>
      </c>
      <c r="J43" s="44" t="s">
        <v>50</v>
      </c>
      <c r="K43" s="44" t="s">
        <v>50</v>
      </c>
      <c r="L43" s="44"/>
      <c r="M43" s="171"/>
      <c r="N43" s="172"/>
      <c r="O43" s="172"/>
      <c r="P43" s="172"/>
    </row>
    <row r="44" spans="1:16" ht="33" customHeight="1" x14ac:dyDescent="0.25">
      <c r="A44" s="21">
        <v>9</v>
      </c>
      <c r="B44" s="39" t="str">
        <f>IF(ficha_alum!B17="","",ficha_alum!B17)</f>
        <v/>
      </c>
      <c r="C44" s="42" t="str">
        <f>_xlfn.TEXTJOIN(", ",TRUE,_xlfn.TEXTJOIN(" ",TRUE,ficha_alum!D17,ficha_alum!E17),ficha_alum!C17)</f>
        <v/>
      </c>
      <c r="D44" s="39" t="s">
        <v>160</v>
      </c>
      <c r="E44" s="43" t="str">
        <f>IF(ficha_alum!F17="","",ficha_alum!F17)</f>
        <v/>
      </c>
      <c r="F44" s="44" t="s">
        <v>50</v>
      </c>
      <c r="G44" s="44" t="s">
        <v>50</v>
      </c>
      <c r="H44" s="44" t="s">
        <v>50</v>
      </c>
      <c r="I44" s="44" t="s">
        <v>50</v>
      </c>
      <c r="J44" s="44" t="s">
        <v>50</v>
      </c>
      <c r="K44" s="44" t="s">
        <v>50</v>
      </c>
      <c r="L44" s="44"/>
      <c r="M44" s="171"/>
      <c r="N44" s="172"/>
      <c r="O44" s="172"/>
      <c r="P44" s="172"/>
    </row>
    <row r="45" spans="1:16" ht="33" customHeight="1" x14ac:dyDescent="0.25">
      <c r="A45" s="21">
        <v>10</v>
      </c>
      <c r="B45" s="39" t="str">
        <f>IF(ficha_alum!B18="","",ficha_alum!B18)</f>
        <v/>
      </c>
      <c r="C45" s="42" t="str">
        <f>_xlfn.TEXTJOIN(", ",TRUE,_xlfn.TEXTJOIN(" ",TRUE,ficha_alum!D18,ficha_alum!E18),ficha_alum!C18)</f>
        <v/>
      </c>
      <c r="D45" s="39" t="s">
        <v>160</v>
      </c>
      <c r="E45" s="43" t="str">
        <f>IF(ficha_alum!F18="","",ficha_alum!F18)</f>
        <v/>
      </c>
      <c r="F45" s="44" t="s">
        <v>50</v>
      </c>
      <c r="G45" s="44" t="s">
        <v>50</v>
      </c>
      <c r="H45" s="44" t="s">
        <v>50</v>
      </c>
      <c r="I45" s="44" t="s">
        <v>50</v>
      </c>
      <c r="J45" s="44" t="s">
        <v>50</v>
      </c>
      <c r="K45" s="44" t="s">
        <v>50</v>
      </c>
      <c r="L45" s="44"/>
      <c r="M45" s="171"/>
      <c r="N45" s="172"/>
      <c r="O45" s="172"/>
      <c r="P45" s="172"/>
    </row>
    <row r="46" spans="1:16" ht="33" customHeight="1" x14ac:dyDescent="0.25">
      <c r="A46" s="21">
        <v>11</v>
      </c>
      <c r="B46" s="39" t="str">
        <f>IF(ficha_alum!B19="","",ficha_alum!B19)</f>
        <v/>
      </c>
      <c r="C46" s="42" t="str">
        <f>_xlfn.TEXTJOIN(", ",TRUE,_xlfn.TEXTJOIN(" ",TRUE,ficha_alum!D19,ficha_alum!E19),ficha_alum!C19)</f>
        <v/>
      </c>
      <c r="D46" s="39" t="s">
        <v>160</v>
      </c>
      <c r="E46" s="43" t="str">
        <f>IF(ficha_alum!F19="","",ficha_alum!F19)</f>
        <v/>
      </c>
      <c r="F46" s="44" t="s">
        <v>50</v>
      </c>
      <c r="G46" s="44" t="s">
        <v>50</v>
      </c>
      <c r="H46" s="44" t="s">
        <v>50</v>
      </c>
      <c r="I46" s="44" t="s">
        <v>50</v>
      </c>
      <c r="J46" s="44" t="s">
        <v>50</v>
      </c>
      <c r="K46" s="44" t="s">
        <v>50</v>
      </c>
      <c r="L46" s="44"/>
      <c r="M46" s="171"/>
      <c r="N46" s="172"/>
      <c r="O46" s="172"/>
      <c r="P46" s="172"/>
    </row>
    <row r="47" spans="1:16" ht="33" customHeight="1" x14ac:dyDescent="0.25">
      <c r="A47" s="21">
        <v>12</v>
      </c>
      <c r="B47" s="39" t="str">
        <f>IF(ficha_alum!B20="","",ficha_alum!B20)</f>
        <v/>
      </c>
      <c r="C47" s="42" t="str">
        <f>_xlfn.TEXTJOIN(", ",TRUE,_xlfn.TEXTJOIN(" ",TRUE,ficha_alum!D20,ficha_alum!E20),ficha_alum!C20)</f>
        <v/>
      </c>
      <c r="D47" s="39" t="s">
        <v>160</v>
      </c>
      <c r="E47" s="43" t="str">
        <f>IF(ficha_alum!F20="","",ficha_alum!F20)</f>
        <v/>
      </c>
      <c r="F47" s="44" t="s">
        <v>50</v>
      </c>
      <c r="G47" s="44" t="s">
        <v>50</v>
      </c>
      <c r="H47" s="44" t="s">
        <v>50</v>
      </c>
      <c r="I47" s="44" t="s">
        <v>50</v>
      </c>
      <c r="J47" s="44" t="s">
        <v>50</v>
      </c>
      <c r="K47" s="44" t="s">
        <v>50</v>
      </c>
      <c r="L47" s="44"/>
      <c r="M47" s="171"/>
      <c r="N47" s="172"/>
      <c r="O47" s="172"/>
      <c r="P47" s="172"/>
    </row>
    <row r="48" spans="1:16" ht="33" customHeight="1" x14ac:dyDescent="0.25">
      <c r="A48" s="21">
        <v>13</v>
      </c>
      <c r="B48" s="39" t="str">
        <f>IF(ficha_alum!B21="","",ficha_alum!B21)</f>
        <v/>
      </c>
      <c r="C48" s="42" t="str">
        <f>_xlfn.TEXTJOIN(", ",TRUE,_xlfn.TEXTJOIN(" ",TRUE,ficha_alum!D21,ficha_alum!E21),ficha_alum!C21)</f>
        <v/>
      </c>
      <c r="D48" s="39" t="s">
        <v>160</v>
      </c>
      <c r="E48" s="43" t="str">
        <f>IF(ficha_alum!F21="","",ficha_alum!F21)</f>
        <v/>
      </c>
      <c r="F48" s="44" t="s">
        <v>50</v>
      </c>
      <c r="G48" s="44" t="s">
        <v>50</v>
      </c>
      <c r="H48" s="44" t="s">
        <v>50</v>
      </c>
      <c r="I48" s="44" t="s">
        <v>50</v>
      </c>
      <c r="J48" s="44" t="s">
        <v>50</v>
      </c>
      <c r="K48" s="44" t="s">
        <v>50</v>
      </c>
      <c r="L48" s="44"/>
      <c r="M48" s="171"/>
      <c r="N48" s="172"/>
      <c r="O48" s="172"/>
      <c r="P48" s="172"/>
    </row>
    <row r="49" spans="1:16" ht="33" customHeight="1" x14ac:dyDescent="0.25">
      <c r="A49" s="21">
        <v>14</v>
      </c>
      <c r="B49" s="39" t="str">
        <f>IF(ficha_alum!B22="","",ficha_alum!B22)</f>
        <v/>
      </c>
      <c r="C49" s="42" t="str">
        <f>_xlfn.TEXTJOIN(", ",TRUE,_xlfn.TEXTJOIN(" ",TRUE,ficha_alum!D22,ficha_alum!E22),ficha_alum!C22)</f>
        <v/>
      </c>
      <c r="D49" s="39" t="s">
        <v>160</v>
      </c>
      <c r="E49" s="43" t="str">
        <f>IF(ficha_alum!F22="","",ficha_alum!F22)</f>
        <v/>
      </c>
      <c r="F49" s="44" t="s">
        <v>50</v>
      </c>
      <c r="G49" s="44" t="s">
        <v>50</v>
      </c>
      <c r="H49" s="44" t="s">
        <v>50</v>
      </c>
      <c r="I49" s="44" t="s">
        <v>50</v>
      </c>
      <c r="J49" s="44" t="s">
        <v>50</v>
      </c>
      <c r="K49" s="44" t="s">
        <v>50</v>
      </c>
      <c r="L49" s="44"/>
      <c r="M49" s="171"/>
      <c r="N49" s="172"/>
      <c r="O49" s="172"/>
      <c r="P49" s="172"/>
    </row>
    <row r="50" spans="1:16" ht="33" customHeight="1" x14ac:dyDescent="0.25">
      <c r="A50" s="21">
        <v>15</v>
      </c>
      <c r="B50" s="39" t="str">
        <f>IF(ficha_alum!B23="","",ficha_alum!B23)</f>
        <v/>
      </c>
      <c r="C50" s="42" t="str">
        <f>_xlfn.TEXTJOIN(", ",TRUE,_xlfn.TEXTJOIN(" ",TRUE,ficha_alum!D23,ficha_alum!E23),ficha_alum!C23)</f>
        <v/>
      </c>
      <c r="D50" s="39" t="s">
        <v>160</v>
      </c>
      <c r="E50" s="43" t="str">
        <f>IF(ficha_alum!F23="","",ficha_alum!F23)</f>
        <v/>
      </c>
      <c r="F50" s="44" t="s">
        <v>50</v>
      </c>
      <c r="G50" s="44" t="s">
        <v>50</v>
      </c>
      <c r="H50" s="44" t="s">
        <v>50</v>
      </c>
      <c r="I50" s="44" t="s">
        <v>50</v>
      </c>
      <c r="J50" s="44" t="s">
        <v>50</v>
      </c>
      <c r="K50" s="44" t="s">
        <v>50</v>
      </c>
      <c r="L50" s="44"/>
      <c r="M50" s="171"/>
      <c r="N50" s="172"/>
      <c r="O50" s="172"/>
      <c r="P50" s="172"/>
    </row>
    <row r="51" spans="1:16" ht="33" customHeight="1" x14ac:dyDescent="0.25">
      <c r="A51" s="21">
        <v>16</v>
      </c>
      <c r="B51" s="39" t="str">
        <f>IF(ficha_alum!B24="","",ficha_alum!B24)</f>
        <v/>
      </c>
      <c r="C51" s="42" t="str">
        <f>_xlfn.TEXTJOIN(", ",TRUE,_xlfn.TEXTJOIN(" ",TRUE,ficha_alum!D24,ficha_alum!E24),ficha_alum!C24)</f>
        <v/>
      </c>
      <c r="D51" s="39" t="s">
        <v>160</v>
      </c>
      <c r="E51" s="43" t="str">
        <f>IF(ficha_alum!F24="","",ficha_alum!F24)</f>
        <v/>
      </c>
      <c r="F51" s="44" t="s">
        <v>50</v>
      </c>
      <c r="G51" s="44" t="s">
        <v>50</v>
      </c>
      <c r="H51" s="44" t="s">
        <v>50</v>
      </c>
      <c r="I51" s="44" t="s">
        <v>50</v>
      </c>
      <c r="J51" s="44" t="s">
        <v>50</v>
      </c>
      <c r="K51" s="44" t="s">
        <v>50</v>
      </c>
      <c r="L51" s="44"/>
      <c r="M51" s="171"/>
      <c r="N51" s="172"/>
      <c r="O51" s="172"/>
      <c r="P51" s="172"/>
    </row>
    <row r="52" spans="1:16" ht="33" customHeight="1" x14ac:dyDescent="0.25">
      <c r="A52" s="21">
        <v>17</v>
      </c>
      <c r="B52" s="39" t="str">
        <f>IF(ficha_alum!B25="","",ficha_alum!B25)</f>
        <v/>
      </c>
      <c r="C52" s="42" t="str">
        <f>_xlfn.TEXTJOIN(", ",TRUE,_xlfn.TEXTJOIN(" ",TRUE,ficha_alum!D25,ficha_alum!E25),ficha_alum!C25)</f>
        <v/>
      </c>
      <c r="D52" s="39" t="s">
        <v>160</v>
      </c>
      <c r="E52" s="43" t="str">
        <f>IF(ficha_alum!F25="","",ficha_alum!F25)</f>
        <v/>
      </c>
      <c r="F52" s="44" t="s">
        <v>50</v>
      </c>
      <c r="G52" s="44" t="s">
        <v>50</v>
      </c>
      <c r="H52" s="44" t="s">
        <v>50</v>
      </c>
      <c r="I52" s="44" t="s">
        <v>50</v>
      </c>
      <c r="J52" s="44" t="s">
        <v>50</v>
      </c>
      <c r="K52" s="44" t="s">
        <v>50</v>
      </c>
      <c r="L52" s="44"/>
      <c r="M52" s="171"/>
      <c r="N52" s="172"/>
      <c r="O52" s="172"/>
      <c r="P52" s="172"/>
    </row>
    <row r="53" spans="1:16" ht="33" customHeight="1" x14ac:dyDescent="0.25">
      <c r="A53" s="21">
        <v>18</v>
      </c>
      <c r="B53" s="39" t="str">
        <f>IF(ficha_alum!B26="","",ficha_alum!B26)</f>
        <v/>
      </c>
      <c r="C53" s="42" t="str">
        <f>_xlfn.TEXTJOIN(", ",TRUE,_xlfn.TEXTJOIN(" ",TRUE,ficha_alum!D26,ficha_alum!E26),ficha_alum!C26)</f>
        <v/>
      </c>
      <c r="D53" s="39" t="s">
        <v>160</v>
      </c>
      <c r="E53" s="43" t="str">
        <f>IF(ficha_alum!F26="","",ficha_alum!F26)</f>
        <v/>
      </c>
      <c r="F53" s="44" t="s">
        <v>50</v>
      </c>
      <c r="G53" s="44" t="s">
        <v>50</v>
      </c>
      <c r="H53" s="44" t="s">
        <v>50</v>
      </c>
      <c r="I53" s="44" t="s">
        <v>50</v>
      </c>
      <c r="J53" s="44" t="s">
        <v>50</v>
      </c>
      <c r="K53" s="44" t="s">
        <v>50</v>
      </c>
      <c r="L53" s="44"/>
      <c r="M53" s="171"/>
      <c r="N53" s="172"/>
      <c r="O53" s="172"/>
      <c r="P53" s="172"/>
    </row>
    <row r="54" spans="1:16" ht="33" customHeight="1" x14ac:dyDescent="0.25">
      <c r="A54" s="21">
        <v>19</v>
      </c>
      <c r="B54" s="39" t="str">
        <f>IF(ficha_alum!B27="","",ficha_alum!B27)</f>
        <v/>
      </c>
      <c r="C54" s="42" t="str">
        <f>_xlfn.TEXTJOIN(", ",TRUE,_xlfn.TEXTJOIN(" ",TRUE,ficha_alum!D27,ficha_alum!E27),ficha_alum!C27)</f>
        <v/>
      </c>
      <c r="D54" s="39" t="s">
        <v>160</v>
      </c>
      <c r="E54" s="43" t="str">
        <f>IF(ficha_alum!F27="","",ficha_alum!F27)</f>
        <v/>
      </c>
      <c r="F54" s="44" t="s">
        <v>50</v>
      </c>
      <c r="G54" s="44" t="s">
        <v>50</v>
      </c>
      <c r="H54" s="44" t="s">
        <v>50</v>
      </c>
      <c r="I54" s="44" t="s">
        <v>50</v>
      </c>
      <c r="J54" s="44" t="s">
        <v>50</v>
      </c>
      <c r="K54" s="44" t="s">
        <v>50</v>
      </c>
      <c r="L54" s="44"/>
      <c r="M54" s="171"/>
      <c r="N54" s="172"/>
      <c r="O54" s="172"/>
      <c r="P54" s="172"/>
    </row>
    <row r="55" spans="1:16" ht="33" customHeight="1" x14ac:dyDescent="0.25">
      <c r="A55" s="21">
        <v>20</v>
      </c>
      <c r="B55" s="39" t="str">
        <f>IF(ficha_alum!B28="","",ficha_alum!B28)</f>
        <v/>
      </c>
      <c r="C55" s="42" t="str">
        <f>_xlfn.TEXTJOIN(", ",TRUE,_xlfn.TEXTJOIN(" ",TRUE,ficha_alum!D28,ficha_alum!E28),ficha_alum!C28)</f>
        <v/>
      </c>
      <c r="D55" s="39" t="s">
        <v>160</v>
      </c>
      <c r="E55" s="43" t="str">
        <f>IF(ficha_alum!F28="","",ficha_alum!F28)</f>
        <v/>
      </c>
      <c r="F55" s="44" t="s">
        <v>50</v>
      </c>
      <c r="G55" s="44" t="s">
        <v>50</v>
      </c>
      <c r="H55" s="44" t="s">
        <v>50</v>
      </c>
      <c r="I55" s="44" t="s">
        <v>50</v>
      </c>
      <c r="J55" s="44" t="s">
        <v>50</v>
      </c>
      <c r="K55" s="44" t="s">
        <v>50</v>
      </c>
      <c r="L55" s="44"/>
      <c r="M55" s="171"/>
      <c r="N55" s="172"/>
      <c r="O55" s="172"/>
      <c r="P55" s="172"/>
    </row>
    <row r="56" spans="1:16" ht="33" customHeight="1" x14ac:dyDescent="0.25">
      <c r="A56" s="21">
        <v>21</v>
      </c>
      <c r="B56" s="39" t="str">
        <f>IF(ficha_alum!B29="","",ficha_alum!B29)</f>
        <v/>
      </c>
      <c r="C56" s="42" t="str">
        <f>_xlfn.TEXTJOIN(", ",TRUE,_xlfn.TEXTJOIN(" ",TRUE,ficha_alum!D29,ficha_alum!E29),ficha_alum!C29)</f>
        <v/>
      </c>
      <c r="D56" s="39" t="s">
        <v>160</v>
      </c>
      <c r="E56" s="43" t="str">
        <f>IF(ficha_alum!F29="","",ficha_alum!F29)</f>
        <v/>
      </c>
      <c r="F56" s="44" t="s">
        <v>50</v>
      </c>
      <c r="G56" s="44" t="s">
        <v>50</v>
      </c>
      <c r="H56" s="44" t="s">
        <v>50</v>
      </c>
      <c r="I56" s="44" t="s">
        <v>50</v>
      </c>
      <c r="J56" s="44" t="s">
        <v>50</v>
      </c>
      <c r="K56" s="44" t="s">
        <v>50</v>
      </c>
      <c r="L56" s="44"/>
      <c r="M56" s="171"/>
      <c r="N56" s="172"/>
      <c r="O56" s="172"/>
      <c r="P56" s="172"/>
    </row>
    <row r="57" spans="1:16" ht="33" customHeight="1" x14ac:dyDescent="0.25">
      <c r="A57" s="21">
        <v>22</v>
      </c>
      <c r="B57" s="39" t="str">
        <f>IF(ficha_alum!B30="","",ficha_alum!B30)</f>
        <v/>
      </c>
      <c r="C57" s="42" t="str">
        <f>_xlfn.TEXTJOIN(", ",TRUE,_xlfn.TEXTJOIN(" ",TRUE,ficha_alum!D30,ficha_alum!E30),ficha_alum!C30)</f>
        <v/>
      </c>
      <c r="D57" s="39" t="s">
        <v>160</v>
      </c>
      <c r="E57" s="43" t="str">
        <f>IF(ficha_alum!F30="","",ficha_alum!F30)</f>
        <v/>
      </c>
      <c r="F57" s="44" t="s">
        <v>50</v>
      </c>
      <c r="G57" s="44" t="s">
        <v>50</v>
      </c>
      <c r="H57" s="44" t="s">
        <v>50</v>
      </c>
      <c r="I57" s="44" t="s">
        <v>50</v>
      </c>
      <c r="J57" s="44" t="s">
        <v>50</v>
      </c>
      <c r="K57" s="44" t="s">
        <v>50</v>
      </c>
      <c r="L57" s="44"/>
      <c r="M57" s="171"/>
      <c r="N57" s="172"/>
      <c r="O57" s="172"/>
      <c r="P57" s="172"/>
    </row>
    <row r="58" spans="1:16" ht="33" customHeight="1" x14ac:dyDescent="0.25">
      <c r="A58" s="21">
        <v>23</v>
      </c>
      <c r="B58" s="39" t="str">
        <f>IF(ficha_alum!B31="","",ficha_alum!B31)</f>
        <v/>
      </c>
      <c r="C58" s="42" t="str">
        <f>_xlfn.TEXTJOIN(", ",TRUE,_xlfn.TEXTJOIN(" ",TRUE,ficha_alum!D31,ficha_alum!E31),ficha_alum!C31)</f>
        <v/>
      </c>
      <c r="D58" s="39" t="s">
        <v>160</v>
      </c>
      <c r="E58" s="43" t="str">
        <f>IF(ficha_alum!F31="","",ficha_alum!F31)</f>
        <v/>
      </c>
      <c r="F58" s="44" t="s">
        <v>50</v>
      </c>
      <c r="G58" s="44" t="s">
        <v>50</v>
      </c>
      <c r="H58" s="44" t="s">
        <v>50</v>
      </c>
      <c r="I58" s="44" t="s">
        <v>50</v>
      </c>
      <c r="J58" s="44" t="s">
        <v>50</v>
      </c>
      <c r="K58" s="44" t="s">
        <v>50</v>
      </c>
      <c r="L58" s="44"/>
      <c r="M58" s="171"/>
      <c r="N58" s="172"/>
      <c r="O58" s="172"/>
      <c r="P58" s="172"/>
    </row>
    <row r="59" spans="1:16" ht="33" customHeight="1" x14ac:dyDescent="0.25">
      <c r="A59" s="21">
        <v>24</v>
      </c>
      <c r="B59" s="39" t="str">
        <f>IF(ficha_alum!B32="","",ficha_alum!B32)</f>
        <v/>
      </c>
      <c r="C59" s="42" t="str">
        <f>_xlfn.TEXTJOIN(", ",TRUE,_xlfn.TEXTJOIN(" ",TRUE,ficha_alum!D32,ficha_alum!E32),ficha_alum!C32)</f>
        <v/>
      </c>
      <c r="D59" s="39" t="s">
        <v>160</v>
      </c>
      <c r="E59" s="43" t="str">
        <f>IF(ficha_alum!F32="","",ficha_alum!F32)</f>
        <v/>
      </c>
      <c r="F59" s="44" t="s">
        <v>50</v>
      </c>
      <c r="G59" s="44" t="s">
        <v>50</v>
      </c>
      <c r="H59" s="44" t="s">
        <v>50</v>
      </c>
      <c r="I59" s="44" t="s">
        <v>50</v>
      </c>
      <c r="J59" s="44" t="s">
        <v>50</v>
      </c>
      <c r="K59" s="44" t="s">
        <v>50</v>
      </c>
      <c r="L59" s="44"/>
      <c r="M59" s="171"/>
      <c r="N59" s="172"/>
      <c r="O59" s="172"/>
      <c r="P59" s="172"/>
    </row>
    <row r="60" spans="1:16" ht="33" customHeight="1" x14ac:dyDescent="0.25">
      <c r="A60" s="21">
        <v>25</v>
      </c>
      <c r="B60" s="39" t="str">
        <f>IF(ficha_alum!B33="","",ficha_alum!B33)</f>
        <v/>
      </c>
      <c r="C60" s="42" t="str">
        <f>_xlfn.TEXTJOIN(", ",TRUE,_xlfn.TEXTJOIN(" ",TRUE,ficha_alum!D33,ficha_alum!E33),ficha_alum!C33)</f>
        <v/>
      </c>
      <c r="D60" s="39" t="s">
        <v>160</v>
      </c>
      <c r="E60" s="43" t="str">
        <f>IF(ficha_alum!F33="","",ficha_alum!F33)</f>
        <v/>
      </c>
      <c r="F60" s="44" t="s">
        <v>50</v>
      </c>
      <c r="G60" s="44" t="s">
        <v>50</v>
      </c>
      <c r="H60" s="44" t="s">
        <v>50</v>
      </c>
      <c r="I60" s="44" t="s">
        <v>50</v>
      </c>
      <c r="J60" s="44" t="s">
        <v>50</v>
      </c>
      <c r="K60" s="44" t="s">
        <v>50</v>
      </c>
      <c r="L60" s="44"/>
      <c r="M60" s="171"/>
      <c r="N60" s="172"/>
      <c r="O60" s="172"/>
      <c r="P60" s="172"/>
    </row>
    <row r="61" spans="1:16" ht="33" customHeight="1" x14ac:dyDescent="0.25">
      <c r="A61" s="21">
        <v>26</v>
      </c>
      <c r="B61" s="39" t="str">
        <f>IF(ficha_alum!B34="","",ficha_alum!B34)</f>
        <v/>
      </c>
      <c r="C61" s="42" t="str">
        <f>_xlfn.TEXTJOIN(", ",TRUE,_xlfn.TEXTJOIN(" ",TRUE,ficha_alum!D34,ficha_alum!E34),ficha_alum!C34)</f>
        <v/>
      </c>
      <c r="D61" s="39" t="s">
        <v>160</v>
      </c>
      <c r="E61" s="43" t="str">
        <f>IF(ficha_alum!F34="","",ficha_alum!F34)</f>
        <v/>
      </c>
      <c r="F61" s="44" t="s">
        <v>50</v>
      </c>
      <c r="G61" s="44" t="s">
        <v>50</v>
      </c>
      <c r="H61" s="44" t="s">
        <v>50</v>
      </c>
      <c r="I61" s="44" t="s">
        <v>50</v>
      </c>
      <c r="J61" s="44" t="s">
        <v>50</v>
      </c>
      <c r="K61" s="44" t="s">
        <v>50</v>
      </c>
      <c r="L61" s="44"/>
      <c r="M61" s="171"/>
      <c r="N61" s="172"/>
      <c r="O61" s="172"/>
      <c r="P61" s="172"/>
    </row>
    <row r="62" spans="1:16" ht="33" customHeight="1" x14ac:dyDescent="0.25">
      <c r="A62" s="21">
        <v>27</v>
      </c>
      <c r="B62" s="39" t="str">
        <f>IF(ficha_alum!B35="","",ficha_alum!B35)</f>
        <v/>
      </c>
      <c r="C62" s="42" t="str">
        <f>_xlfn.TEXTJOIN(", ",TRUE,_xlfn.TEXTJOIN(" ",TRUE,ficha_alum!D35,ficha_alum!E35),ficha_alum!C35)</f>
        <v/>
      </c>
      <c r="D62" s="39" t="s">
        <v>160</v>
      </c>
      <c r="E62" s="43" t="str">
        <f>IF(ficha_alum!F35="","",ficha_alum!F35)</f>
        <v/>
      </c>
      <c r="F62" s="44" t="s">
        <v>50</v>
      </c>
      <c r="G62" s="44" t="s">
        <v>50</v>
      </c>
      <c r="H62" s="44" t="s">
        <v>50</v>
      </c>
      <c r="I62" s="44" t="s">
        <v>50</v>
      </c>
      <c r="J62" s="44" t="s">
        <v>50</v>
      </c>
      <c r="K62" s="44" t="s">
        <v>50</v>
      </c>
      <c r="L62" s="44"/>
      <c r="M62" s="171"/>
      <c r="N62" s="172"/>
      <c r="O62" s="172"/>
      <c r="P62" s="172"/>
    </row>
    <row r="63" spans="1:16" ht="33" customHeight="1" x14ac:dyDescent="0.25">
      <c r="A63" s="21">
        <v>28</v>
      </c>
      <c r="B63" s="39" t="str">
        <f>IF(ficha_alum!B36="","",ficha_alum!B36)</f>
        <v/>
      </c>
      <c r="C63" s="42" t="str">
        <f>_xlfn.TEXTJOIN(", ",TRUE,_xlfn.TEXTJOIN(" ",TRUE,ficha_alum!D36,ficha_alum!E36),ficha_alum!C36)</f>
        <v/>
      </c>
      <c r="D63" s="39" t="s">
        <v>160</v>
      </c>
      <c r="E63" s="43" t="str">
        <f>IF(ficha_alum!F36="","",ficha_alum!F36)</f>
        <v/>
      </c>
      <c r="F63" s="44" t="s">
        <v>50</v>
      </c>
      <c r="G63" s="44" t="s">
        <v>50</v>
      </c>
      <c r="H63" s="44" t="s">
        <v>50</v>
      </c>
      <c r="I63" s="44" t="s">
        <v>50</v>
      </c>
      <c r="J63" s="44" t="s">
        <v>50</v>
      </c>
      <c r="K63" s="44" t="s">
        <v>50</v>
      </c>
      <c r="L63" s="44"/>
      <c r="M63" s="171"/>
      <c r="N63" s="172"/>
      <c r="O63" s="172"/>
      <c r="P63" s="172"/>
    </row>
    <row r="64" spans="1:16" ht="33" customHeight="1" x14ac:dyDescent="0.25">
      <c r="A64" s="21">
        <v>29</v>
      </c>
      <c r="B64" s="39" t="str">
        <f>IF(ficha_alum!B37="","",ficha_alum!B37)</f>
        <v/>
      </c>
      <c r="C64" s="42" t="str">
        <f>_xlfn.TEXTJOIN(", ",TRUE,_xlfn.TEXTJOIN(" ",TRUE,ficha_alum!D37,ficha_alum!E37),ficha_alum!C37)</f>
        <v/>
      </c>
      <c r="D64" s="39" t="s">
        <v>160</v>
      </c>
      <c r="E64" s="43" t="str">
        <f>IF(ficha_alum!F37="","",ficha_alum!F37)</f>
        <v/>
      </c>
      <c r="F64" s="44" t="s">
        <v>50</v>
      </c>
      <c r="G64" s="44" t="s">
        <v>50</v>
      </c>
      <c r="H64" s="44" t="s">
        <v>50</v>
      </c>
      <c r="I64" s="44" t="s">
        <v>50</v>
      </c>
      <c r="J64" s="44" t="s">
        <v>50</v>
      </c>
      <c r="K64" s="44" t="s">
        <v>50</v>
      </c>
      <c r="L64" s="44"/>
      <c r="M64" s="171"/>
      <c r="N64" s="172"/>
      <c r="O64" s="172"/>
      <c r="P64" s="172"/>
    </row>
    <row r="65" spans="1:16" ht="33" customHeight="1" x14ac:dyDescent="0.25">
      <c r="A65" s="21">
        <v>30</v>
      </c>
      <c r="B65" s="39" t="str">
        <f>IF(ficha_alum!B38="","",ficha_alum!B38)</f>
        <v/>
      </c>
      <c r="C65" s="42" t="str">
        <f>_xlfn.TEXTJOIN(", ",TRUE,_xlfn.TEXTJOIN(" ",TRUE,ficha_alum!D38,ficha_alum!E38),ficha_alum!C38)</f>
        <v/>
      </c>
      <c r="D65" s="39" t="s">
        <v>160</v>
      </c>
      <c r="E65" s="43" t="str">
        <f>IF(ficha_alum!F38="","",ficha_alum!F38)</f>
        <v/>
      </c>
      <c r="F65" s="44" t="s">
        <v>50</v>
      </c>
      <c r="G65" s="44" t="s">
        <v>50</v>
      </c>
      <c r="H65" s="44" t="s">
        <v>50</v>
      </c>
      <c r="I65" s="44" t="s">
        <v>50</v>
      </c>
      <c r="J65" s="44" t="s">
        <v>50</v>
      </c>
      <c r="K65" s="44" t="s">
        <v>50</v>
      </c>
      <c r="L65" s="44"/>
      <c r="M65" s="171"/>
      <c r="N65" s="172"/>
      <c r="O65" s="172"/>
      <c r="P65" s="172"/>
    </row>
    <row r="66" spans="1:16" ht="33" customHeight="1" x14ac:dyDescent="0.25">
      <c r="A66" s="21">
        <v>31</v>
      </c>
      <c r="B66" s="39" t="str">
        <f>IF(ficha_alum!B39="","",ficha_alum!B39)</f>
        <v/>
      </c>
      <c r="C66" s="42" t="str">
        <f>_xlfn.TEXTJOIN(", ",TRUE,_xlfn.TEXTJOIN(" ",TRUE,ficha_alum!D39,ficha_alum!E39),ficha_alum!C39)</f>
        <v/>
      </c>
      <c r="D66" s="39" t="s">
        <v>160</v>
      </c>
      <c r="E66" s="43" t="str">
        <f>IF(ficha_alum!F39="","",ficha_alum!F39)</f>
        <v/>
      </c>
      <c r="F66" s="44" t="s">
        <v>50</v>
      </c>
      <c r="G66" s="44" t="s">
        <v>50</v>
      </c>
      <c r="H66" s="44" t="s">
        <v>50</v>
      </c>
      <c r="I66" s="44" t="s">
        <v>50</v>
      </c>
      <c r="J66" s="44" t="s">
        <v>50</v>
      </c>
      <c r="K66" s="44" t="s">
        <v>50</v>
      </c>
      <c r="L66" s="44"/>
      <c r="M66" s="171"/>
      <c r="N66" s="172"/>
      <c r="O66" s="172"/>
      <c r="P66" s="172"/>
    </row>
    <row r="67" spans="1:16" ht="33" customHeight="1" x14ac:dyDescent="0.25">
      <c r="A67" s="21">
        <v>32</v>
      </c>
      <c r="B67" s="39" t="str">
        <f>IF(ficha_alum!B40="","",ficha_alum!B40)</f>
        <v/>
      </c>
      <c r="C67" s="42" t="str">
        <f>_xlfn.TEXTJOIN(", ",TRUE,_xlfn.TEXTJOIN(" ",TRUE,ficha_alum!D40,ficha_alum!E40),ficha_alum!C40)</f>
        <v/>
      </c>
      <c r="D67" s="39" t="s">
        <v>160</v>
      </c>
      <c r="E67" s="43" t="str">
        <f>IF(ficha_alum!F40="","",ficha_alum!F40)</f>
        <v/>
      </c>
      <c r="F67" s="44" t="s">
        <v>50</v>
      </c>
      <c r="G67" s="44" t="s">
        <v>50</v>
      </c>
      <c r="H67" s="44" t="s">
        <v>50</v>
      </c>
      <c r="I67" s="44" t="s">
        <v>50</v>
      </c>
      <c r="J67" s="44" t="s">
        <v>50</v>
      </c>
      <c r="K67" s="44" t="s">
        <v>50</v>
      </c>
      <c r="L67" s="44"/>
      <c r="M67" s="171"/>
      <c r="N67" s="172"/>
      <c r="O67" s="172"/>
      <c r="P67" s="172"/>
    </row>
    <row r="68" spans="1:16" ht="33" customHeight="1" x14ac:dyDescent="0.25">
      <c r="A68" s="21">
        <v>33</v>
      </c>
      <c r="B68" s="39" t="str">
        <f>IF(ficha_alum!B41="","",ficha_alum!B41)</f>
        <v/>
      </c>
      <c r="C68" s="42" t="str">
        <f>_xlfn.TEXTJOIN(", ",TRUE,_xlfn.TEXTJOIN(" ",TRUE,ficha_alum!D41,ficha_alum!E41),ficha_alum!C41)</f>
        <v/>
      </c>
      <c r="D68" s="39" t="s">
        <v>160</v>
      </c>
      <c r="E68" s="43" t="str">
        <f>IF(ficha_alum!F41="","",ficha_alum!F41)</f>
        <v/>
      </c>
      <c r="F68" s="44" t="s">
        <v>50</v>
      </c>
      <c r="G68" s="44" t="s">
        <v>50</v>
      </c>
      <c r="H68" s="44" t="s">
        <v>50</v>
      </c>
      <c r="I68" s="44" t="s">
        <v>50</v>
      </c>
      <c r="J68" s="44" t="s">
        <v>50</v>
      </c>
      <c r="K68" s="44" t="s">
        <v>50</v>
      </c>
      <c r="L68" s="44"/>
      <c r="M68" s="171"/>
      <c r="N68" s="172"/>
      <c r="O68" s="172"/>
      <c r="P68" s="172"/>
    </row>
    <row r="69" spans="1:16" ht="33" customHeight="1" x14ac:dyDescent="0.25">
      <c r="A69" s="21">
        <v>34</v>
      </c>
      <c r="B69" s="39" t="str">
        <f>IF(ficha_alum!B42="","",ficha_alum!B42)</f>
        <v/>
      </c>
      <c r="C69" s="42" t="str">
        <f>_xlfn.TEXTJOIN(", ",TRUE,_xlfn.TEXTJOIN(" ",TRUE,ficha_alum!D42,ficha_alum!E42),ficha_alum!C42)</f>
        <v/>
      </c>
      <c r="D69" s="39" t="s">
        <v>160</v>
      </c>
      <c r="E69" s="43" t="str">
        <f>IF(ficha_alum!F42="","",ficha_alum!F42)</f>
        <v/>
      </c>
      <c r="F69" s="44" t="s">
        <v>50</v>
      </c>
      <c r="G69" s="44" t="s">
        <v>50</v>
      </c>
      <c r="H69" s="44" t="s">
        <v>50</v>
      </c>
      <c r="I69" s="44" t="s">
        <v>50</v>
      </c>
      <c r="J69" s="44" t="s">
        <v>50</v>
      </c>
      <c r="K69" s="44" t="s">
        <v>50</v>
      </c>
      <c r="L69" s="44"/>
      <c r="M69" s="171"/>
      <c r="N69" s="172"/>
      <c r="O69" s="172"/>
      <c r="P69" s="172"/>
    </row>
    <row r="70" spans="1:16" ht="33" customHeight="1" x14ac:dyDescent="0.25">
      <c r="A70" s="21">
        <v>35</v>
      </c>
      <c r="B70" s="39" t="str">
        <f>IF(ficha_alum!B43="","",ficha_alum!B43)</f>
        <v/>
      </c>
      <c r="C70" s="42" t="str">
        <f>_xlfn.TEXTJOIN(", ",TRUE,_xlfn.TEXTJOIN(" ",TRUE,ficha_alum!D43,ficha_alum!E43),ficha_alum!C43)</f>
        <v/>
      </c>
      <c r="D70" s="39" t="s">
        <v>160</v>
      </c>
      <c r="E70" s="43" t="str">
        <f>IF(ficha_alum!F43="","",ficha_alum!F43)</f>
        <v/>
      </c>
      <c r="F70" s="44" t="s">
        <v>50</v>
      </c>
      <c r="G70" s="44" t="s">
        <v>50</v>
      </c>
      <c r="H70" s="44" t="s">
        <v>50</v>
      </c>
      <c r="I70" s="44" t="s">
        <v>50</v>
      </c>
      <c r="J70" s="44" t="s">
        <v>50</v>
      </c>
      <c r="K70" s="44" t="s">
        <v>50</v>
      </c>
      <c r="L70" s="44"/>
      <c r="M70" s="171"/>
      <c r="N70" s="172"/>
      <c r="O70" s="172"/>
      <c r="P70" s="172"/>
    </row>
    <row r="71" spans="1:16" ht="33" customHeight="1" x14ac:dyDescent="0.25">
      <c r="A71" s="21">
        <v>36</v>
      </c>
      <c r="B71" s="39" t="str">
        <f>IF(ficha_alum!B44="","",ficha_alum!B44)</f>
        <v/>
      </c>
      <c r="C71" s="42" t="str">
        <f>_xlfn.TEXTJOIN(", ",TRUE,_xlfn.TEXTJOIN(" ",TRUE,ficha_alum!D44,ficha_alum!E44),ficha_alum!C44)</f>
        <v/>
      </c>
      <c r="D71" s="39" t="s">
        <v>160</v>
      </c>
      <c r="E71" s="43" t="str">
        <f>IF(ficha_alum!F44="","",ficha_alum!F44)</f>
        <v/>
      </c>
      <c r="F71" s="44" t="s">
        <v>50</v>
      </c>
      <c r="G71" s="44" t="s">
        <v>50</v>
      </c>
      <c r="H71" s="44" t="s">
        <v>50</v>
      </c>
      <c r="I71" s="44" t="s">
        <v>50</v>
      </c>
      <c r="J71" s="44" t="s">
        <v>50</v>
      </c>
      <c r="K71" s="44" t="s">
        <v>50</v>
      </c>
      <c r="L71" s="44"/>
      <c r="M71" s="171"/>
      <c r="N71" s="172"/>
      <c r="O71" s="172"/>
      <c r="P71" s="172"/>
    </row>
    <row r="72" spans="1:16" ht="33" customHeight="1" x14ac:dyDescent="0.25">
      <c r="A72" s="21">
        <v>37</v>
      </c>
      <c r="B72" s="39" t="str">
        <f>IF(ficha_alum!B45="","",ficha_alum!B45)</f>
        <v/>
      </c>
      <c r="C72" s="42" t="str">
        <f>_xlfn.TEXTJOIN(", ",TRUE,_xlfn.TEXTJOIN(" ",TRUE,ficha_alum!D45,ficha_alum!E45),ficha_alum!C45)</f>
        <v/>
      </c>
      <c r="D72" s="39" t="s">
        <v>160</v>
      </c>
      <c r="E72" s="43" t="str">
        <f>IF(ficha_alum!F45="","",ficha_alum!F45)</f>
        <v/>
      </c>
      <c r="F72" s="44" t="s">
        <v>50</v>
      </c>
      <c r="G72" s="44" t="s">
        <v>50</v>
      </c>
      <c r="H72" s="44" t="s">
        <v>50</v>
      </c>
      <c r="I72" s="44" t="s">
        <v>50</v>
      </c>
      <c r="J72" s="44" t="s">
        <v>50</v>
      </c>
      <c r="K72" s="44" t="s">
        <v>50</v>
      </c>
      <c r="L72" s="44"/>
      <c r="M72" s="171"/>
      <c r="N72" s="172"/>
      <c r="O72" s="172"/>
      <c r="P72" s="172"/>
    </row>
    <row r="73" spans="1:16" ht="33" customHeight="1" x14ac:dyDescent="0.25">
      <c r="A73" s="21">
        <v>38</v>
      </c>
      <c r="B73" s="39" t="str">
        <f>IF(ficha_alum!B46="","",ficha_alum!B46)</f>
        <v/>
      </c>
      <c r="C73" s="42" t="str">
        <f>_xlfn.TEXTJOIN(", ",TRUE,_xlfn.TEXTJOIN(" ",TRUE,ficha_alum!D46,ficha_alum!E46),ficha_alum!C46)</f>
        <v/>
      </c>
      <c r="D73" s="39" t="s">
        <v>160</v>
      </c>
      <c r="E73" s="43" t="str">
        <f>IF(ficha_alum!F46="","",ficha_alum!F46)</f>
        <v/>
      </c>
      <c r="F73" s="44" t="s">
        <v>50</v>
      </c>
      <c r="G73" s="44" t="s">
        <v>50</v>
      </c>
      <c r="H73" s="44" t="s">
        <v>50</v>
      </c>
      <c r="I73" s="44" t="s">
        <v>50</v>
      </c>
      <c r="J73" s="44" t="s">
        <v>50</v>
      </c>
      <c r="K73" s="44" t="s">
        <v>50</v>
      </c>
      <c r="L73" s="44"/>
      <c r="M73" s="171"/>
      <c r="N73" s="172"/>
      <c r="O73" s="172"/>
      <c r="P73" s="172"/>
    </row>
    <row r="74" spans="1:16" ht="33" customHeight="1" x14ac:dyDescent="0.25">
      <c r="A74" s="21">
        <v>39</v>
      </c>
      <c r="B74" s="39" t="str">
        <f>IF(ficha_alum!B47="","",ficha_alum!B47)</f>
        <v/>
      </c>
      <c r="C74" s="42" t="str">
        <f>_xlfn.TEXTJOIN(", ",TRUE,_xlfn.TEXTJOIN(" ",TRUE,ficha_alum!D47,ficha_alum!E47),ficha_alum!C47)</f>
        <v/>
      </c>
      <c r="D74" s="39" t="s">
        <v>160</v>
      </c>
      <c r="E74" s="43" t="str">
        <f>IF(ficha_alum!F47="","",ficha_alum!F47)</f>
        <v/>
      </c>
      <c r="F74" s="44" t="s">
        <v>50</v>
      </c>
      <c r="G74" s="44" t="s">
        <v>50</v>
      </c>
      <c r="H74" s="44" t="s">
        <v>50</v>
      </c>
      <c r="I74" s="44" t="s">
        <v>50</v>
      </c>
      <c r="J74" s="44" t="s">
        <v>50</v>
      </c>
      <c r="K74" s="44" t="s">
        <v>50</v>
      </c>
      <c r="L74" s="44"/>
      <c r="M74" s="171"/>
      <c r="N74" s="172"/>
      <c r="O74" s="172"/>
      <c r="P74" s="172"/>
    </row>
    <row r="75" spans="1:16" ht="26.25" customHeight="1" x14ac:dyDescent="0.25">
      <c r="A75" s="21">
        <v>40</v>
      </c>
      <c r="B75" s="39" t="str">
        <f>IF(ficha_alum!B48="","",ficha_alum!B48)</f>
        <v/>
      </c>
      <c r="C75" s="42" t="str">
        <f>_xlfn.TEXTJOIN(", ",TRUE,_xlfn.TEXTJOIN(" ",TRUE,ficha_alum!D48,ficha_alum!E48),ficha_alum!C48)</f>
        <v/>
      </c>
      <c r="D75" s="39" t="s">
        <v>160</v>
      </c>
      <c r="E75" s="43" t="str">
        <f>IF(ficha_alum!F48="","",ficha_alum!F48)</f>
        <v/>
      </c>
      <c r="F75" s="44" t="s">
        <v>50</v>
      </c>
      <c r="G75" s="44" t="s">
        <v>50</v>
      </c>
      <c r="H75" s="44" t="s">
        <v>50</v>
      </c>
      <c r="I75" s="44" t="s">
        <v>50</v>
      </c>
      <c r="J75" s="44" t="s">
        <v>50</v>
      </c>
      <c r="K75" s="44" t="s">
        <v>50</v>
      </c>
      <c r="L75" s="44"/>
      <c r="M75" s="171"/>
      <c r="N75" s="172"/>
      <c r="O75" s="172"/>
      <c r="P75" s="172"/>
    </row>
    <row r="76" spans="1:16" ht="26.25" customHeight="1" x14ac:dyDescent="0.25"/>
    <row r="77" spans="1:16" s="22" customFormat="1" ht="26.25" customHeight="1" x14ac:dyDescent="0.25">
      <c r="B77" s="168" t="s">
        <v>51</v>
      </c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</row>
    <row r="78" spans="1:16" x14ac:dyDescent="0.25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 spans="1:16" s="18" customFormat="1" ht="26.25" customHeight="1" x14ac:dyDescent="0.25">
      <c r="A79" s="45">
        <v>1</v>
      </c>
      <c r="B79" s="191" t="str">
        <f>IF(ACORDS!E9 = "", "", ACORDS!E9)</f>
        <v/>
      </c>
      <c r="C79" s="172"/>
      <c r="D79" s="172"/>
      <c r="E79" s="172"/>
      <c r="F79" s="172"/>
      <c r="G79" s="172"/>
      <c r="H79" s="172"/>
      <c r="I79" s="172"/>
      <c r="J79" s="172"/>
      <c r="K79" s="172"/>
      <c r="L79" s="199" t="s">
        <v>52</v>
      </c>
      <c r="M79" s="200"/>
      <c r="N79" s="200"/>
      <c r="O79" s="200"/>
      <c r="P79" s="201"/>
    </row>
    <row r="80" spans="1:16" s="18" customFormat="1" ht="30.75" customHeight="1" x14ac:dyDescent="0.25">
      <c r="A80" s="45">
        <v>2</v>
      </c>
      <c r="B80" s="191" t="str">
        <f>IF(ACORDS!E10 = "", "", ACORDS!E10)</f>
        <v/>
      </c>
      <c r="C80" s="172"/>
      <c r="D80" s="172"/>
      <c r="E80" s="172"/>
      <c r="F80" s="172"/>
      <c r="G80" s="172"/>
      <c r="H80" s="172"/>
      <c r="I80" s="172"/>
      <c r="J80" s="172"/>
      <c r="K80" s="172"/>
      <c r="L80" s="202"/>
      <c r="M80" s="203"/>
      <c r="N80" s="203"/>
      <c r="O80" s="203"/>
      <c r="P80" s="204"/>
    </row>
    <row r="81" spans="1:16" s="18" customFormat="1" ht="30.75" customHeight="1" x14ac:dyDescent="0.25">
      <c r="A81" s="45">
        <v>3</v>
      </c>
      <c r="B81" s="191" t="str">
        <f>IF(ACORDS!E11 = "", "", ACORDS!E11)</f>
        <v/>
      </c>
      <c r="C81" s="172"/>
      <c r="D81" s="172"/>
      <c r="E81" s="172"/>
      <c r="F81" s="172"/>
      <c r="G81" s="172"/>
      <c r="H81" s="172"/>
      <c r="I81" s="172"/>
      <c r="J81" s="172"/>
      <c r="K81" s="172"/>
      <c r="L81" s="202"/>
      <c r="M81" s="203"/>
      <c r="N81" s="203"/>
      <c r="O81" s="203"/>
      <c r="P81" s="204"/>
    </row>
    <row r="82" spans="1:16" s="18" customFormat="1" ht="30.75" customHeight="1" x14ac:dyDescent="0.25">
      <c r="A82" s="45">
        <v>4</v>
      </c>
      <c r="B82" s="191" t="str">
        <f>IF(ACORDS!E12 = "", "", ACORDS!E12)</f>
        <v/>
      </c>
      <c r="C82" s="172"/>
      <c r="D82" s="172"/>
      <c r="E82" s="172"/>
      <c r="F82" s="172"/>
      <c r="G82" s="172"/>
      <c r="H82" s="172"/>
      <c r="I82" s="172"/>
      <c r="J82" s="172"/>
      <c r="K82" s="172"/>
      <c r="L82" s="202"/>
      <c r="M82" s="203"/>
      <c r="N82" s="203"/>
      <c r="O82" s="203"/>
      <c r="P82" s="204"/>
    </row>
    <row r="83" spans="1:16" s="18" customFormat="1" ht="30.75" customHeight="1" x14ac:dyDescent="0.25">
      <c r="A83" s="45">
        <v>5</v>
      </c>
      <c r="B83" s="191" t="str">
        <f>IF(ACORDS!E13 = "", "", ACORDS!E13)</f>
        <v/>
      </c>
      <c r="C83" s="172"/>
      <c r="D83" s="172"/>
      <c r="E83" s="172"/>
      <c r="F83" s="172"/>
      <c r="G83" s="172"/>
      <c r="H83" s="172"/>
      <c r="I83" s="172"/>
      <c r="J83" s="172"/>
      <c r="K83" s="172"/>
      <c r="L83" s="202"/>
      <c r="M83" s="203"/>
      <c r="N83" s="203"/>
      <c r="O83" s="203"/>
      <c r="P83" s="204"/>
    </row>
    <row r="84" spans="1:16" s="18" customFormat="1" ht="30.75" customHeight="1" x14ac:dyDescent="0.25">
      <c r="A84" s="45">
        <v>6</v>
      </c>
      <c r="B84" s="191" t="str">
        <f>IF(ACORDS!E14 = "", "", ACORDS!E14)</f>
        <v/>
      </c>
      <c r="C84" s="172"/>
      <c r="D84" s="172"/>
      <c r="E84" s="172"/>
      <c r="F84" s="172"/>
      <c r="G84" s="172"/>
      <c r="H84" s="172"/>
      <c r="I84" s="172"/>
      <c r="J84" s="172"/>
      <c r="K84" s="172"/>
      <c r="L84" s="202"/>
      <c r="M84" s="203"/>
      <c r="N84" s="203"/>
      <c r="O84" s="203"/>
      <c r="P84" s="204"/>
    </row>
    <row r="85" spans="1:16" s="18" customFormat="1" ht="30.75" customHeight="1" thickBot="1" x14ac:dyDescent="0.3">
      <c r="A85" s="45">
        <v>7</v>
      </c>
      <c r="B85" s="191" t="str">
        <f>IF(ACORDS!E15 = "", "", ACORDS!E15)</f>
        <v/>
      </c>
      <c r="C85" s="172"/>
      <c r="D85" s="172"/>
      <c r="E85" s="172"/>
      <c r="F85" s="172"/>
      <c r="G85" s="172"/>
      <c r="H85" s="172"/>
      <c r="I85" s="172"/>
      <c r="J85" s="172"/>
      <c r="K85" s="172"/>
      <c r="L85" s="205"/>
      <c r="M85" s="206"/>
      <c r="N85" s="206"/>
      <c r="O85" s="206"/>
      <c r="P85" s="207"/>
    </row>
    <row r="86" spans="1:16" x14ac:dyDescent="0.25">
      <c r="A86" s="164" t="s">
        <v>53</v>
      </c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</row>
    <row r="87" spans="1:16" x14ac:dyDescent="0.25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</row>
    <row r="88" spans="1:16" x14ac:dyDescent="0.25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</row>
  </sheetData>
  <mergeCells count="92">
    <mergeCell ref="B84:K84"/>
    <mergeCell ref="M57:P57"/>
    <mergeCell ref="D31:E31"/>
    <mergeCell ref="M72:P72"/>
    <mergeCell ref="B83:K83"/>
    <mergeCell ref="B81:K81"/>
    <mergeCell ref="B80:K80"/>
    <mergeCell ref="M56:P56"/>
    <mergeCell ref="M71:P71"/>
    <mergeCell ref="M43:P43"/>
    <mergeCell ref="M74:P74"/>
    <mergeCell ref="M61:P61"/>
    <mergeCell ref="L79:P85"/>
    <mergeCell ref="M49:P49"/>
    <mergeCell ref="M70:P70"/>
    <mergeCell ref="M75:P75"/>
    <mergeCell ref="J6:M6"/>
    <mergeCell ref="M46:P46"/>
    <mergeCell ref="J5:M5"/>
    <mergeCell ref="B9:P9"/>
    <mergeCell ref="B18:P18"/>
    <mergeCell ref="M41:P41"/>
    <mergeCell ref="M37:P37"/>
    <mergeCell ref="M26:N26"/>
    <mergeCell ref="F29:I29"/>
    <mergeCell ref="M35:P35"/>
    <mergeCell ref="G26:K26"/>
    <mergeCell ref="B22:P22"/>
    <mergeCell ref="M40:P40"/>
    <mergeCell ref="M29:N29"/>
    <mergeCell ref="B82:K82"/>
    <mergeCell ref="B12:P12"/>
    <mergeCell ref="M45:P45"/>
    <mergeCell ref="B14:P14"/>
    <mergeCell ref="M47:P47"/>
    <mergeCell ref="M62:P62"/>
    <mergeCell ref="B27:C27"/>
    <mergeCell ref="B26:E26"/>
    <mergeCell ref="B24:P24"/>
    <mergeCell ref="M48:P48"/>
    <mergeCell ref="B28:C28"/>
    <mergeCell ref="M69:P69"/>
    <mergeCell ref="M59:P59"/>
    <mergeCell ref="M54:P54"/>
    <mergeCell ref="B85:K85"/>
    <mergeCell ref="B2:C6"/>
    <mergeCell ref="M44:P44"/>
    <mergeCell ref="B33:P33"/>
    <mergeCell ref="B29:C29"/>
    <mergeCell ref="M64:P64"/>
    <mergeCell ref="M73:P73"/>
    <mergeCell ref="M51:P51"/>
    <mergeCell ref="M27:N27"/>
    <mergeCell ref="M60:P60"/>
    <mergeCell ref="D2:G6"/>
    <mergeCell ref="H3:I3"/>
    <mergeCell ref="B79:K79"/>
    <mergeCell ref="M66:P66"/>
    <mergeCell ref="B17:P17"/>
    <mergeCell ref="J4:M4"/>
    <mergeCell ref="H1:M1"/>
    <mergeCell ref="M65:P65"/>
    <mergeCell ref="H5:I5"/>
    <mergeCell ref="J3:M3"/>
    <mergeCell ref="H4:I4"/>
    <mergeCell ref="H6:I6"/>
    <mergeCell ref="M58:P58"/>
    <mergeCell ref="M30:N30"/>
    <mergeCell ref="M52:P52"/>
    <mergeCell ref="B20:P20"/>
    <mergeCell ref="H7:I7"/>
    <mergeCell ref="M28:N28"/>
    <mergeCell ref="J7:M7"/>
    <mergeCell ref="M42:P42"/>
    <mergeCell ref="B30:C30"/>
    <mergeCell ref="F27:I27"/>
    <mergeCell ref="A86:P88"/>
    <mergeCell ref="F28:I28"/>
    <mergeCell ref="B77:P77"/>
    <mergeCell ref="M36:P36"/>
    <mergeCell ref="B11:P11"/>
    <mergeCell ref="M63:P63"/>
    <mergeCell ref="M53:P53"/>
    <mergeCell ref="M50:P50"/>
    <mergeCell ref="M68:P68"/>
    <mergeCell ref="M55:P55"/>
    <mergeCell ref="M31:N31"/>
    <mergeCell ref="M67:P67"/>
    <mergeCell ref="M38:P38"/>
    <mergeCell ref="J30:K30"/>
    <mergeCell ref="B15:P15"/>
    <mergeCell ref="M39:P39"/>
  </mergeCells>
  <conditionalFormatting sqref="D31">
    <cfRule type="containsText" dxfId="35" priority="1" operator="containsText" text="No coincideix amb el total del grup">
      <formula>NOT(ISERROR(SEARCH("No coincideix amb el total del grup",D31)))</formula>
    </cfRule>
  </conditionalFormatting>
  <conditionalFormatting sqref="E36:G75">
    <cfRule type="cellIs" dxfId="34" priority="3" operator="equal">
      <formula>"No"</formula>
    </cfRule>
  </conditionalFormatting>
  <conditionalFormatting sqref="H36:L75">
    <cfRule type="cellIs" dxfId="33" priority="4" operator="equal">
      <formula>"Sí"</formula>
    </cfRule>
  </conditionalFormatting>
  <conditionalFormatting sqref="J30">
    <cfRule type="containsText" dxfId="32" priority="2" operator="containsText" text="No coincideix amb el total del grup">
      <formula>NOT(ISERROR(SEARCH("No coincideix amb el total del grup",J30)))</formula>
    </cfRule>
  </conditionalFormatting>
  <dataValidations disablePrompts="1" count="3">
    <dataValidation allowBlank="1" showInputMessage="1" showErrorMessage="1" sqref="J6:M6 E36:E75" xr:uid="{00000000-0002-0000-0200-000000000000}"/>
    <dataValidation type="list" allowBlank="1" showInputMessage="1" showErrorMessage="1" sqref="F36:K75" xr:uid="{00000000-0002-0000-0200-000001000000}">
      <formula1>"Sí, No"</formula1>
    </dataValidation>
    <dataValidation type="date" allowBlank="1" showInputMessage="1" showErrorMessage="1" sqref="J7" xr:uid="{00000000-0002-0000-0200-000002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97"/>
  <sheetViews>
    <sheetView topLeftCell="A27" workbookViewId="0">
      <selection activeCell="E39" sqref="E39:N39"/>
    </sheetView>
  </sheetViews>
  <sheetFormatPr baseColWidth="10" defaultColWidth="0" defaultRowHeight="15.75" zeroHeight="1" x14ac:dyDescent="0.25"/>
  <cols>
    <col min="1" max="1" width="3.5703125" style="1" customWidth="1"/>
    <col min="2" max="2" width="21.7109375" style="1" customWidth="1"/>
    <col min="3" max="3" width="25.28515625" style="1" customWidth="1"/>
    <col min="4" max="8" width="12.5703125" style="1" customWidth="1"/>
    <col min="9" max="9" width="17.28515625" style="1" customWidth="1"/>
    <col min="10" max="11" width="15.85546875" style="1" customWidth="1"/>
    <col min="12" max="14" width="12.5703125" style="1" customWidth="1"/>
    <col min="15" max="15" width="3.5703125" style="1" customWidth="1"/>
    <col min="16" max="22" width="9.140625" style="1" hidden="1" customWidth="1"/>
    <col min="23" max="181" width="4.42578125" style="1" hidden="1" customWidth="1"/>
    <col min="182" max="16383" width="0" style="1" hidden="1"/>
    <col min="16384" max="16384" width="16.5703125" style="1" hidden="1" customWidth="1"/>
  </cols>
  <sheetData>
    <row r="1" spans="2:14" ht="15.75" customHeight="1" x14ac:dyDescent="0.25">
      <c r="B1" s="5"/>
      <c r="C1" s="5"/>
      <c r="D1" s="5"/>
      <c r="E1" s="5"/>
      <c r="F1" s="5"/>
      <c r="G1" s="5"/>
      <c r="H1" s="5"/>
      <c r="I1" s="6" t="s">
        <v>0</v>
      </c>
      <c r="J1" s="6"/>
      <c r="K1" s="6"/>
      <c r="L1" s="7"/>
      <c r="M1" s="6"/>
    </row>
    <row r="2" spans="2:14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8"/>
      <c r="J2" s="209"/>
      <c r="K2" s="209"/>
      <c r="L2" s="209"/>
      <c r="M2" s="209"/>
      <c r="N2" s="209"/>
    </row>
    <row r="3" spans="2:14" ht="15.75" customHeight="1" x14ac:dyDescent="0.25">
      <c r="B3" s="209"/>
      <c r="C3" s="209"/>
      <c r="D3" s="209"/>
      <c r="E3" s="209"/>
      <c r="F3" s="209"/>
      <c r="G3" s="209"/>
      <c r="H3" s="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2:14" ht="15.75" customHeight="1" x14ac:dyDescent="0.25">
      <c r="B4" s="209"/>
      <c r="C4" s="209"/>
      <c r="D4" s="209"/>
      <c r="E4" s="209"/>
      <c r="F4" s="209"/>
      <c r="G4" s="209"/>
      <c r="H4" s="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2:14" ht="15.75" customHeight="1" x14ac:dyDescent="0.25">
      <c r="B5" s="209"/>
      <c r="C5" s="209"/>
      <c r="D5" s="209"/>
      <c r="E5" s="209"/>
      <c r="F5" s="209"/>
      <c r="G5" s="209"/>
      <c r="H5" s="8"/>
      <c r="I5" s="47" t="s">
        <v>3</v>
      </c>
      <c r="J5" s="182" t="str">
        <f>IF(ficha_alum!K5 = "", "", ficha_alum!K5)</f>
        <v/>
      </c>
      <c r="K5" s="172"/>
      <c r="L5" s="172"/>
      <c r="M5" s="172"/>
    </row>
    <row r="6" spans="2:14" ht="15.75" customHeight="1" thickBot="1" x14ac:dyDescent="0.3">
      <c r="B6" s="209"/>
      <c r="C6" s="209"/>
      <c r="D6" s="209"/>
      <c r="E6" s="209"/>
      <c r="F6" s="209"/>
      <c r="G6" s="209"/>
      <c r="H6" s="8"/>
      <c r="I6" s="48" t="s">
        <v>10</v>
      </c>
      <c r="J6" s="237" t="s">
        <v>6</v>
      </c>
      <c r="K6" s="196"/>
      <c r="L6" s="196"/>
      <c r="M6" s="196"/>
    </row>
    <row r="7" spans="2:14" x14ac:dyDescent="0.25">
      <c r="B7" s="5"/>
      <c r="C7" s="5"/>
      <c r="D7" s="8"/>
      <c r="E7" s="8"/>
      <c r="F7" s="8"/>
      <c r="G7" s="8"/>
      <c r="H7" s="8"/>
      <c r="I7" s="49" t="s">
        <v>12</v>
      </c>
      <c r="J7" s="220"/>
      <c r="K7" s="177"/>
      <c r="L7" s="177"/>
      <c r="M7" s="177"/>
    </row>
    <row r="8" spans="2:14" ht="27" customHeight="1" x14ac:dyDescent="0.25"/>
    <row r="9" spans="2:14" s="13" customFormat="1" ht="21" customHeight="1" x14ac:dyDescent="0.25">
      <c r="B9" s="214" t="s">
        <v>13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1" spans="2:14" ht="15.6" customHeight="1" x14ac:dyDescent="0.25">
      <c r="B11" s="238" t="s">
        <v>14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</row>
    <row r="12" spans="2:14" ht="56.25" customHeight="1" x14ac:dyDescent="0.25">
      <c r="B12" s="233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222"/>
    </row>
    <row r="13" spans="2:14" ht="27" customHeight="1" x14ac:dyDescent="0.25"/>
    <row r="14" spans="2:14" x14ac:dyDescent="0.25">
      <c r="B14" s="238" t="s">
        <v>15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</row>
    <row r="15" spans="2:14" ht="56.25" customHeight="1" x14ac:dyDescent="0.25">
      <c r="B15" s="233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222"/>
    </row>
    <row r="16" spans="2:14" ht="27" customHeight="1" x14ac:dyDescent="0.25"/>
    <row r="17" spans="2:14" x14ac:dyDescent="0.25">
      <c r="B17" s="238" t="s">
        <v>54</v>
      </c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</row>
    <row r="18" spans="2:14" ht="56.25" customHeight="1" x14ac:dyDescent="0.25">
      <c r="B18" s="233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222"/>
    </row>
    <row r="20" spans="2:14" s="13" customFormat="1" ht="21" customHeight="1" x14ac:dyDescent="0.25">
      <c r="B20" s="214" t="s">
        <v>17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</row>
    <row r="21" spans="2:14" x14ac:dyDescent="0.25">
      <c r="B21" s="1" t="s">
        <v>18</v>
      </c>
    </row>
    <row r="22" spans="2:14" ht="56.25" customHeight="1" x14ac:dyDescent="0.25">
      <c r="B22" s="233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222"/>
    </row>
    <row r="23" spans="2:14" ht="27" customHeight="1" x14ac:dyDescent="0.25"/>
    <row r="24" spans="2:14" s="13" customFormat="1" ht="21" customHeight="1" x14ac:dyDescent="0.25">
      <c r="B24" s="234" t="s">
        <v>55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70"/>
    </row>
    <row r="25" spans="2:14" x14ac:dyDescent="0.25">
      <c r="B25" s="50" t="s">
        <v>56</v>
      </c>
      <c r="G25" s="51"/>
      <c r="H25" s="51"/>
      <c r="I25" s="51"/>
      <c r="J25" s="51"/>
      <c r="K25" s="51"/>
      <c r="L25" s="51"/>
      <c r="M25" s="52"/>
      <c r="N25" s="52"/>
    </row>
    <row r="26" spans="2:14" ht="19.5" customHeight="1" x14ac:dyDescent="0.25">
      <c r="B26" s="235" t="s">
        <v>57</v>
      </c>
      <c r="C26" s="209"/>
      <c r="D26" s="30">
        <f>COUNTIFS($C$36:$C$75,"&lt;&gt;",$D$36:$D$75,"&lt;&gt;Baixa")-COUNTBLANK($C$36:$C$75)</f>
        <v>0</v>
      </c>
      <c r="E26" s="54" t="s">
        <v>23</v>
      </c>
      <c r="G26" s="241" t="s">
        <v>58</v>
      </c>
      <c r="H26" s="242"/>
      <c r="I26" s="242"/>
      <c r="J26" s="242"/>
      <c r="K26" s="242"/>
      <c r="L26" s="242"/>
      <c r="M26" s="242"/>
      <c r="N26" s="243"/>
    </row>
    <row r="27" spans="2:14" ht="19.5" customHeight="1" x14ac:dyDescent="0.25">
      <c r="B27" s="235" t="s">
        <v>26</v>
      </c>
      <c r="C27" s="209"/>
      <c r="D27" s="30">
        <f>COUNTIFS($D$36:$D$75,"Baixa")</f>
        <v>0</v>
      </c>
      <c r="E27" s="55" t="str">
        <f>IFERROR(D27/$D$26,"-")</f>
        <v>-</v>
      </c>
      <c r="G27" s="244"/>
      <c r="H27" s="209"/>
      <c r="I27" s="209"/>
      <c r="J27" s="209"/>
      <c r="K27" s="209"/>
      <c r="L27" s="209"/>
      <c r="M27" s="209"/>
      <c r="N27" s="245"/>
    </row>
    <row r="28" spans="2:14" ht="19.5" customHeight="1" x14ac:dyDescent="0.25">
      <c r="B28" s="235" t="s">
        <v>59</v>
      </c>
      <c r="C28" s="209"/>
      <c r="D28" s="32">
        <v>0</v>
      </c>
      <c r="E28" s="55" t="str">
        <f>IFERROR(D28/$D$26,"-")</f>
        <v>-</v>
      </c>
      <c r="G28" s="244"/>
      <c r="H28" s="209"/>
      <c r="I28" s="209"/>
      <c r="J28" s="209"/>
      <c r="K28" s="209"/>
      <c r="L28" s="209"/>
      <c r="M28" s="209"/>
      <c r="N28" s="245"/>
    </row>
    <row r="29" spans="2:14" ht="19.5" customHeight="1" x14ac:dyDescent="0.25">
      <c r="B29" s="235" t="s">
        <v>60</v>
      </c>
      <c r="C29" s="209"/>
      <c r="D29" s="32">
        <v>0</v>
      </c>
      <c r="E29" s="55" t="str">
        <f>IFERROR(D29/$D$26,"-")</f>
        <v>-</v>
      </c>
      <c r="G29" s="244"/>
      <c r="H29" s="209"/>
      <c r="I29" s="209"/>
      <c r="J29" s="209"/>
      <c r="K29" s="209"/>
      <c r="L29" s="209"/>
      <c r="M29" s="209"/>
      <c r="N29" s="245"/>
    </row>
    <row r="30" spans="2:14" ht="19.5" customHeight="1" x14ac:dyDescent="0.25">
      <c r="B30" s="235" t="s">
        <v>61</v>
      </c>
      <c r="C30" s="209"/>
      <c r="D30" s="32">
        <v>0</v>
      </c>
      <c r="E30" s="55" t="str">
        <f>IFERROR(D30/$D$26,"-")</f>
        <v>-</v>
      </c>
      <c r="G30" s="244"/>
      <c r="H30" s="209"/>
      <c r="I30" s="209"/>
      <c r="J30" s="209"/>
      <c r="K30" s="209"/>
      <c r="L30" s="209"/>
      <c r="M30" s="209"/>
      <c r="N30" s="245"/>
    </row>
    <row r="31" spans="2:14" ht="19.5" customHeight="1" thickBot="1" x14ac:dyDescent="0.3">
      <c r="B31" s="235" t="s">
        <v>62</v>
      </c>
      <c r="C31" s="209"/>
      <c r="D31" s="56">
        <v>0</v>
      </c>
      <c r="E31" s="55" t="str">
        <f>IFERROR(D31/$D$26,"-")</f>
        <v>-</v>
      </c>
      <c r="G31" s="246"/>
      <c r="H31" s="247"/>
      <c r="I31" s="247"/>
      <c r="J31" s="247"/>
      <c r="K31" s="247"/>
      <c r="L31" s="247"/>
      <c r="M31" s="247"/>
      <c r="N31" s="248"/>
    </row>
    <row r="32" spans="2:14" ht="27" customHeight="1" x14ac:dyDescent="0.25">
      <c r="B32" s="53"/>
      <c r="C32" s="53"/>
      <c r="D32" s="240"/>
      <c r="E32" s="177"/>
      <c r="G32" s="236"/>
      <c r="H32" s="209"/>
      <c r="I32" s="209"/>
      <c r="J32" s="209"/>
      <c r="K32" s="209"/>
      <c r="L32" s="12"/>
      <c r="M32" s="57"/>
      <c r="N32" s="57"/>
    </row>
    <row r="33" spans="1:14" s="13" customFormat="1" ht="21" customHeight="1" x14ac:dyDescent="0.25">
      <c r="B33" s="239" t="s">
        <v>37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70"/>
    </row>
    <row r="34" spans="1:14" x14ac:dyDescent="0.25">
      <c r="E34" s="51"/>
    </row>
    <row r="35" spans="1:14" s="3" customFormat="1" ht="32.25" customHeight="1" x14ac:dyDescent="0.25">
      <c r="B35" s="39" t="s">
        <v>38</v>
      </c>
      <c r="C35" s="39" t="s">
        <v>39</v>
      </c>
      <c r="D35" s="40" t="s">
        <v>40</v>
      </c>
      <c r="E35" s="249" t="s">
        <v>63</v>
      </c>
      <c r="F35" s="172"/>
      <c r="G35" s="172"/>
      <c r="H35" s="172"/>
      <c r="I35" s="172"/>
      <c r="J35" s="172"/>
      <c r="K35" s="172"/>
      <c r="L35" s="172"/>
      <c r="M35" s="172"/>
      <c r="N35" s="222"/>
    </row>
    <row r="36" spans="1:14" ht="33" customHeight="1" x14ac:dyDescent="0.25">
      <c r="A36" s="3">
        <v>1</v>
      </c>
      <c r="B36" s="39" t="str">
        <f>IF('0 AVAL'!B36 = "", "", '0 AVAL'!B36)</f>
        <v/>
      </c>
      <c r="C36" s="39" t="str">
        <f>IF('0 AVAL'!C36 = "", "", '0 AVAL'!C36)</f>
        <v/>
      </c>
      <c r="D36" s="39" t="s">
        <v>160</v>
      </c>
      <c r="E36" s="221"/>
      <c r="F36" s="172"/>
      <c r="G36" s="172"/>
      <c r="H36" s="172"/>
      <c r="I36" s="172"/>
      <c r="J36" s="172"/>
      <c r="K36" s="172"/>
      <c r="L36" s="172"/>
      <c r="M36" s="172"/>
      <c r="N36" s="222"/>
    </row>
    <row r="37" spans="1:14" ht="33" customHeight="1" x14ac:dyDescent="0.25">
      <c r="A37" s="3">
        <v>2</v>
      </c>
      <c r="B37" s="39" t="str">
        <f>IF('0 AVAL'!B37 = "", "", '0 AVAL'!B37)</f>
        <v/>
      </c>
      <c r="C37" s="39" t="str">
        <f>IF('0 AVAL'!C37 = "", "", '0 AVAL'!C37)</f>
        <v/>
      </c>
      <c r="D37" s="39" t="s">
        <v>160</v>
      </c>
      <c r="E37" s="221"/>
      <c r="F37" s="172"/>
      <c r="G37" s="172"/>
      <c r="H37" s="172"/>
      <c r="I37" s="172"/>
      <c r="J37" s="172"/>
      <c r="K37" s="172"/>
      <c r="L37" s="172"/>
      <c r="M37" s="172"/>
      <c r="N37" s="222"/>
    </row>
    <row r="38" spans="1:14" ht="33" customHeight="1" x14ac:dyDescent="0.25">
      <c r="A38" s="3">
        <v>3</v>
      </c>
      <c r="B38" s="39" t="str">
        <f>IF('0 AVAL'!B38 = "", "", '0 AVAL'!B38)</f>
        <v/>
      </c>
      <c r="C38" s="39" t="str">
        <f>IF('0 AVAL'!C38 = "", "", '0 AVAL'!C38)</f>
        <v/>
      </c>
      <c r="D38" s="39" t="s">
        <v>160</v>
      </c>
      <c r="E38" s="221"/>
      <c r="F38" s="172"/>
      <c r="G38" s="172"/>
      <c r="H38" s="172"/>
      <c r="I38" s="172"/>
      <c r="J38" s="172"/>
      <c r="K38" s="172"/>
      <c r="L38" s="172"/>
      <c r="M38" s="172"/>
      <c r="N38" s="222"/>
    </row>
    <row r="39" spans="1:14" ht="33" customHeight="1" x14ac:dyDescent="0.25">
      <c r="A39" s="3">
        <v>4</v>
      </c>
      <c r="B39" s="39" t="str">
        <f>IF('0 AVAL'!B39 = "", "", '0 AVAL'!B39)</f>
        <v/>
      </c>
      <c r="C39" s="39" t="str">
        <f>IF('0 AVAL'!C39 = "", "", '0 AVAL'!C39)</f>
        <v/>
      </c>
      <c r="D39" s="39" t="s">
        <v>160</v>
      </c>
      <c r="E39" s="221"/>
      <c r="F39" s="172"/>
      <c r="G39" s="172"/>
      <c r="H39" s="172"/>
      <c r="I39" s="172"/>
      <c r="J39" s="172"/>
      <c r="K39" s="172"/>
      <c r="L39" s="172"/>
      <c r="M39" s="172"/>
      <c r="N39" s="222"/>
    </row>
    <row r="40" spans="1:14" ht="33" customHeight="1" x14ac:dyDescent="0.25">
      <c r="A40" s="3">
        <v>5</v>
      </c>
      <c r="B40" s="39" t="str">
        <f>IF('0 AVAL'!B40 = "", "", '0 AVAL'!B40)</f>
        <v/>
      </c>
      <c r="C40" s="39" t="str">
        <f>IF('0 AVAL'!C40 = "", "", '0 AVAL'!C40)</f>
        <v/>
      </c>
      <c r="D40" s="39" t="s">
        <v>160</v>
      </c>
      <c r="E40" s="221"/>
      <c r="F40" s="172"/>
      <c r="G40" s="172"/>
      <c r="H40" s="172"/>
      <c r="I40" s="172"/>
      <c r="J40" s="172"/>
      <c r="K40" s="172"/>
      <c r="L40" s="172"/>
      <c r="M40" s="172"/>
      <c r="N40" s="222"/>
    </row>
    <row r="41" spans="1:14" ht="33" customHeight="1" x14ac:dyDescent="0.25">
      <c r="A41" s="3">
        <v>6</v>
      </c>
      <c r="B41" s="39" t="str">
        <f>IF('0 AVAL'!B41 = "", "", '0 AVAL'!B41)</f>
        <v/>
      </c>
      <c r="C41" s="39" t="str">
        <f>IF('0 AVAL'!C41 = "", "", '0 AVAL'!C41)</f>
        <v/>
      </c>
      <c r="D41" s="39" t="s">
        <v>160</v>
      </c>
      <c r="E41" s="221"/>
      <c r="F41" s="172"/>
      <c r="G41" s="172"/>
      <c r="H41" s="172"/>
      <c r="I41" s="172"/>
      <c r="J41" s="172"/>
      <c r="K41" s="172"/>
      <c r="L41" s="172"/>
      <c r="M41" s="172"/>
      <c r="N41" s="222"/>
    </row>
    <row r="42" spans="1:14" ht="33" customHeight="1" x14ac:dyDescent="0.25">
      <c r="A42" s="3">
        <v>7</v>
      </c>
      <c r="B42" s="39" t="str">
        <f>IF('0 AVAL'!B42 = "", "", '0 AVAL'!B42)</f>
        <v/>
      </c>
      <c r="C42" s="39" t="str">
        <f>IF('0 AVAL'!C42 = "", "", '0 AVAL'!C42)</f>
        <v/>
      </c>
      <c r="D42" s="39" t="s">
        <v>160</v>
      </c>
      <c r="E42" s="221"/>
      <c r="F42" s="172"/>
      <c r="G42" s="172"/>
      <c r="H42" s="172"/>
      <c r="I42" s="172"/>
      <c r="J42" s="172"/>
      <c r="K42" s="172"/>
      <c r="L42" s="172"/>
      <c r="M42" s="172"/>
      <c r="N42" s="222"/>
    </row>
    <row r="43" spans="1:14" ht="33" customHeight="1" x14ac:dyDescent="0.25">
      <c r="A43" s="3">
        <v>8</v>
      </c>
      <c r="B43" s="39" t="str">
        <f>IF('0 AVAL'!B43 = "", "", '0 AVAL'!B43)</f>
        <v/>
      </c>
      <c r="C43" s="39" t="str">
        <f>IF('0 AVAL'!C43 = "", "", '0 AVAL'!C43)</f>
        <v/>
      </c>
      <c r="D43" s="39" t="s">
        <v>160</v>
      </c>
      <c r="E43" s="221"/>
      <c r="F43" s="172"/>
      <c r="G43" s="172"/>
      <c r="H43" s="172"/>
      <c r="I43" s="172"/>
      <c r="J43" s="172"/>
      <c r="K43" s="172"/>
      <c r="L43" s="172"/>
      <c r="M43" s="172"/>
      <c r="N43" s="222"/>
    </row>
    <row r="44" spans="1:14" ht="33" customHeight="1" x14ac:dyDescent="0.25">
      <c r="A44" s="3">
        <v>9</v>
      </c>
      <c r="B44" s="39" t="str">
        <f>IF('0 AVAL'!B44 = "", "", '0 AVAL'!B44)</f>
        <v/>
      </c>
      <c r="C44" s="39" t="str">
        <f>IF('0 AVAL'!C44 = "", "", '0 AVAL'!C44)</f>
        <v/>
      </c>
      <c r="D44" s="39" t="s">
        <v>160</v>
      </c>
      <c r="E44" s="221"/>
      <c r="F44" s="172"/>
      <c r="G44" s="172"/>
      <c r="H44" s="172"/>
      <c r="I44" s="172"/>
      <c r="J44" s="172"/>
      <c r="K44" s="172"/>
      <c r="L44" s="172"/>
      <c r="M44" s="172"/>
      <c r="N44" s="222"/>
    </row>
    <row r="45" spans="1:14" ht="33" customHeight="1" x14ac:dyDescent="0.25">
      <c r="A45" s="3">
        <v>10</v>
      </c>
      <c r="B45" s="39" t="str">
        <f>IF('0 AVAL'!B45 = "", "", '0 AVAL'!B45)</f>
        <v/>
      </c>
      <c r="C45" s="39" t="str">
        <f>IF('0 AVAL'!C45 = "", "", '0 AVAL'!C45)</f>
        <v/>
      </c>
      <c r="D45" s="39" t="s">
        <v>160</v>
      </c>
      <c r="E45" s="221"/>
      <c r="F45" s="172"/>
      <c r="G45" s="172"/>
      <c r="H45" s="172"/>
      <c r="I45" s="172"/>
      <c r="J45" s="172"/>
      <c r="K45" s="172"/>
      <c r="L45" s="172"/>
      <c r="M45" s="172"/>
      <c r="N45" s="222"/>
    </row>
    <row r="46" spans="1:14" ht="33" customHeight="1" x14ac:dyDescent="0.25">
      <c r="A46" s="3">
        <v>11</v>
      </c>
      <c r="B46" s="39" t="str">
        <f>IF('0 AVAL'!B46 = "", "", '0 AVAL'!B46)</f>
        <v/>
      </c>
      <c r="C46" s="39" t="str">
        <f>IF('0 AVAL'!C46 = "", "", '0 AVAL'!C46)</f>
        <v/>
      </c>
      <c r="D46" s="39" t="s">
        <v>160</v>
      </c>
      <c r="E46" s="221"/>
      <c r="F46" s="172"/>
      <c r="G46" s="172"/>
      <c r="H46" s="172"/>
      <c r="I46" s="172"/>
      <c r="J46" s="172"/>
      <c r="K46" s="172"/>
      <c r="L46" s="172"/>
      <c r="M46" s="172"/>
      <c r="N46" s="222"/>
    </row>
    <row r="47" spans="1:14" ht="33" customHeight="1" x14ac:dyDescent="0.25">
      <c r="A47" s="3">
        <v>12</v>
      </c>
      <c r="B47" s="39" t="str">
        <f>IF('0 AVAL'!B47 = "", "", '0 AVAL'!B47)</f>
        <v/>
      </c>
      <c r="C47" s="39" t="str">
        <f>IF('0 AVAL'!C47 = "", "", '0 AVAL'!C47)</f>
        <v/>
      </c>
      <c r="D47" s="39" t="s">
        <v>160</v>
      </c>
      <c r="E47" s="221"/>
      <c r="F47" s="172"/>
      <c r="G47" s="172"/>
      <c r="H47" s="172"/>
      <c r="I47" s="172"/>
      <c r="J47" s="172"/>
      <c r="K47" s="172"/>
      <c r="L47" s="172"/>
      <c r="M47" s="172"/>
      <c r="N47" s="222"/>
    </row>
    <row r="48" spans="1:14" ht="33" customHeight="1" x14ac:dyDescent="0.25">
      <c r="A48" s="3">
        <v>13</v>
      </c>
      <c r="B48" s="39" t="str">
        <f>IF('0 AVAL'!B48 = "", "", '0 AVAL'!B48)</f>
        <v/>
      </c>
      <c r="C48" s="39" t="str">
        <f>IF('0 AVAL'!C48 = "", "", '0 AVAL'!C48)</f>
        <v/>
      </c>
      <c r="D48" s="39" t="s">
        <v>160</v>
      </c>
      <c r="E48" s="221"/>
      <c r="F48" s="172"/>
      <c r="G48" s="172"/>
      <c r="H48" s="172"/>
      <c r="I48" s="172"/>
      <c r="J48" s="172"/>
      <c r="K48" s="172"/>
      <c r="L48" s="172"/>
      <c r="M48" s="172"/>
      <c r="N48" s="222"/>
    </row>
    <row r="49" spans="1:14" ht="33" customHeight="1" x14ac:dyDescent="0.25">
      <c r="A49" s="3">
        <v>14</v>
      </c>
      <c r="B49" s="39" t="str">
        <f>IF('0 AVAL'!B49 = "", "", '0 AVAL'!B49)</f>
        <v/>
      </c>
      <c r="C49" s="39" t="str">
        <f>IF('0 AVAL'!C49 = "", "", '0 AVAL'!C49)</f>
        <v/>
      </c>
      <c r="D49" s="39" t="s">
        <v>160</v>
      </c>
      <c r="E49" s="221"/>
      <c r="F49" s="172"/>
      <c r="G49" s="172"/>
      <c r="H49" s="172"/>
      <c r="I49" s="172"/>
      <c r="J49" s="172"/>
      <c r="K49" s="172"/>
      <c r="L49" s="172"/>
      <c r="M49" s="172"/>
      <c r="N49" s="222"/>
    </row>
    <row r="50" spans="1:14" ht="33" customHeight="1" x14ac:dyDescent="0.25">
      <c r="A50" s="3">
        <v>15</v>
      </c>
      <c r="B50" s="39" t="str">
        <f>IF('0 AVAL'!B50 = "", "", '0 AVAL'!B50)</f>
        <v/>
      </c>
      <c r="C50" s="39" t="str">
        <f>IF('0 AVAL'!C50 = "", "", '0 AVAL'!C50)</f>
        <v/>
      </c>
      <c r="D50" s="39" t="s">
        <v>160</v>
      </c>
      <c r="E50" s="221"/>
      <c r="F50" s="172"/>
      <c r="G50" s="172"/>
      <c r="H50" s="172"/>
      <c r="I50" s="172"/>
      <c r="J50" s="172"/>
      <c r="K50" s="172"/>
      <c r="L50" s="172"/>
      <c r="M50" s="172"/>
      <c r="N50" s="222"/>
    </row>
    <row r="51" spans="1:14" ht="33" customHeight="1" x14ac:dyDescent="0.25">
      <c r="A51" s="3">
        <v>16</v>
      </c>
      <c r="B51" s="39" t="str">
        <f>IF('0 AVAL'!B51 = "", "", '0 AVAL'!B51)</f>
        <v/>
      </c>
      <c r="C51" s="39" t="str">
        <f>IF('0 AVAL'!C51 = "", "", '0 AVAL'!C51)</f>
        <v/>
      </c>
      <c r="D51" s="39" t="s">
        <v>160</v>
      </c>
      <c r="E51" s="221"/>
      <c r="F51" s="172"/>
      <c r="G51" s="172"/>
      <c r="H51" s="172"/>
      <c r="I51" s="172"/>
      <c r="J51" s="172"/>
      <c r="K51" s="172"/>
      <c r="L51" s="172"/>
      <c r="M51" s="172"/>
      <c r="N51" s="222"/>
    </row>
    <row r="52" spans="1:14" ht="33" customHeight="1" x14ac:dyDescent="0.25">
      <c r="A52" s="3">
        <v>17</v>
      </c>
      <c r="B52" s="39" t="str">
        <f>IF('0 AVAL'!B52 = "", "", '0 AVAL'!B52)</f>
        <v/>
      </c>
      <c r="C52" s="39" t="str">
        <f>IF('0 AVAL'!C52 = "", "", '0 AVAL'!C52)</f>
        <v/>
      </c>
      <c r="D52" s="39" t="s">
        <v>160</v>
      </c>
      <c r="E52" s="221"/>
      <c r="F52" s="172"/>
      <c r="G52" s="172"/>
      <c r="H52" s="172"/>
      <c r="I52" s="172"/>
      <c r="J52" s="172"/>
      <c r="K52" s="172"/>
      <c r="L52" s="172"/>
      <c r="M52" s="172"/>
      <c r="N52" s="222"/>
    </row>
    <row r="53" spans="1:14" ht="33" customHeight="1" x14ac:dyDescent="0.25">
      <c r="A53" s="3">
        <v>18</v>
      </c>
      <c r="B53" s="39" t="str">
        <f>IF('0 AVAL'!B53 = "", "", '0 AVAL'!B53)</f>
        <v/>
      </c>
      <c r="C53" s="39" t="str">
        <f>IF('0 AVAL'!C53 = "", "", '0 AVAL'!C53)</f>
        <v/>
      </c>
      <c r="D53" s="39" t="s">
        <v>160</v>
      </c>
      <c r="E53" s="221"/>
      <c r="F53" s="172"/>
      <c r="G53" s="172"/>
      <c r="H53" s="172"/>
      <c r="I53" s="172"/>
      <c r="J53" s="172"/>
      <c r="K53" s="172"/>
      <c r="L53" s="172"/>
      <c r="M53" s="172"/>
      <c r="N53" s="222"/>
    </row>
    <row r="54" spans="1:14" ht="33" customHeight="1" x14ac:dyDescent="0.25">
      <c r="A54" s="3">
        <v>19</v>
      </c>
      <c r="B54" s="39" t="str">
        <f>IF('0 AVAL'!B54 = "", "", '0 AVAL'!B54)</f>
        <v/>
      </c>
      <c r="C54" s="39" t="str">
        <f>IF('0 AVAL'!C54 = "", "", '0 AVAL'!C54)</f>
        <v/>
      </c>
      <c r="D54" s="39" t="s">
        <v>160</v>
      </c>
      <c r="E54" s="221"/>
      <c r="F54" s="172"/>
      <c r="G54" s="172"/>
      <c r="H54" s="172"/>
      <c r="I54" s="172"/>
      <c r="J54" s="172"/>
      <c r="K54" s="172"/>
      <c r="L54" s="172"/>
      <c r="M54" s="172"/>
      <c r="N54" s="222"/>
    </row>
    <row r="55" spans="1:14" ht="33" customHeight="1" x14ac:dyDescent="0.25">
      <c r="A55" s="3">
        <v>20</v>
      </c>
      <c r="B55" s="39" t="str">
        <f>IF('0 AVAL'!B55 = "", "", '0 AVAL'!B55)</f>
        <v/>
      </c>
      <c r="C55" s="39" t="str">
        <f>IF('0 AVAL'!C55 = "", "", '0 AVAL'!C55)</f>
        <v/>
      </c>
      <c r="D55" s="39" t="s">
        <v>160</v>
      </c>
      <c r="E55" s="221"/>
      <c r="F55" s="172"/>
      <c r="G55" s="172"/>
      <c r="H55" s="172"/>
      <c r="I55" s="172"/>
      <c r="J55" s="172"/>
      <c r="K55" s="172"/>
      <c r="L55" s="172"/>
      <c r="M55" s="172"/>
      <c r="N55" s="222"/>
    </row>
    <row r="56" spans="1:14" ht="33" customHeight="1" x14ac:dyDescent="0.25">
      <c r="A56" s="3">
        <v>21</v>
      </c>
      <c r="B56" s="39" t="str">
        <f>IF('0 AVAL'!B56 = "", "", '0 AVAL'!B56)</f>
        <v/>
      </c>
      <c r="C56" s="39" t="str">
        <f>IF('0 AVAL'!C56 = "", "", '0 AVAL'!C56)</f>
        <v/>
      </c>
      <c r="D56" s="39" t="s">
        <v>160</v>
      </c>
      <c r="E56" s="221"/>
      <c r="F56" s="172"/>
      <c r="G56" s="172"/>
      <c r="H56" s="172"/>
      <c r="I56" s="172"/>
      <c r="J56" s="172"/>
      <c r="K56" s="172"/>
      <c r="L56" s="172"/>
      <c r="M56" s="172"/>
      <c r="N56" s="222"/>
    </row>
    <row r="57" spans="1:14" ht="33" customHeight="1" x14ac:dyDescent="0.25">
      <c r="A57" s="3">
        <v>22</v>
      </c>
      <c r="B57" s="39" t="str">
        <f>IF('0 AVAL'!B57 = "", "", '0 AVAL'!B57)</f>
        <v/>
      </c>
      <c r="C57" s="39" t="str">
        <f>IF('0 AVAL'!C57 = "", "", '0 AVAL'!C57)</f>
        <v/>
      </c>
      <c r="D57" s="39" t="s">
        <v>160</v>
      </c>
      <c r="E57" s="221"/>
      <c r="F57" s="172"/>
      <c r="G57" s="172"/>
      <c r="H57" s="172"/>
      <c r="I57" s="172"/>
      <c r="J57" s="172"/>
      <c r="K57" s="172"/>
      <c r="L57" s="172"/>
      <c r="M57" s="172"/>
      <c r="N57" s="222"/>
    </row>
    <row r="58" spans="1:14" ht="33" customHeight="1" x14ac:dyDescent="0.25">
      <c r="A58" s="3">
        <v>23</v>
      </c>
      <c r="B58" s="39" t="str">
        <f>IF('0 AVAL'!B58 = "", "", '0 AVAL'!B58)</f>
        <v/>
      </c>
      <c r="C58" s="39" t="str">
        <f>IF('0 AVAL'!C58 = "", "", '0 AVAL'!C58)</f>
        <v/>
      </c>
      <c r="D58" s="39" t="s">
        <v>160</v>
      </c>
      <c r="E58" s="221"/>
      <c r="F58" s="172"/>
      <c r="G58" s="172"/>
      <c r="H58" s="172"/>
      <c r="I58" s="172"/>
      <c r="J58" s="172"/>
      <c r="K58" s="172"/>
      <c r="L58" s="172"/>
      <c r="M58" s="172"/>
      <c r="N58" s="222"/>
    </row>
    <row r="59" spans="1:14" ht="33" customHeight="1" x14ac:dyDescent="0.25">
      <c r="A59" s="3">
        <v>24</v>
      </c>
      <c r="B59" s="39" t="str">
        <f>IF('0 AVAL'!B59 = "", "", '0 AVAL'!B59)</f>
        <v/>
      </c>
      <c r="C59" s="39" t="str">
        <f>IF('0 AVAL'!C59 = "", "", '0 AVAL'!C59)</f>
        <v/>
      </c>
      <c r="D59" s="39" t="s">
        <v>160</v>
      </c>
      <c r="E59" s="221"/>
      <c r="F59" s="172"/>
      <c r="G59" s="172"/>
      <c r="H59" s="172"/>
      <c r="I59" s="172"/>
      <c r="J59" s="172"/>
      <c r="K59" s="172"/>
      <c r="L59" s="172"/>
      <c r="M59" s="172"/>
      <c r="N59" s="222"/>
    </row>
    <row r="60" spans="1:14" ht="33" customHeight="1" x14ac:dyDescent="0.25">
      <c r="A60" s="3">
        <v>25</v>
      </c>
      <c r="B60" s="39" t="str">
        <f>IF('0 AVAL'!B60 = "", "", '0 AVAL'!B60)</f>
        <v/>
      </c>
      <c r="C60" s="39" t="str">
        <f>IF('0 AVAL'!C60 = "", "", '0 AVAL'!C60)</f>
        <v/>
      </c>
      <c r="D60" s="39" t="s">
        <v>160</v>
      </c>
      <c r="E60" s="221"/>
      <c r="F60" s="172"/>
      <c r="G60" s="172"/>
      <c r="H60" s="172"/>
      <c r="I60" s="172"/>
      <c r="J60" s="172"/>
      <c r="K60" s="172"/>
      <c r="L60" s="172"/>
      <c r="M60" s="172"/>
      <c r="N60" s="222"/>
    </row>
    <row r="61" spans="1:14" ht="33" customHeight="1" x14ac:dyDescent="0.25">
      <c r="A61" s="3">
        <v>26</v>
      </c>
      <c r="B61" s="39" t="str">
        <f>IF('0 AVAL'!B61 = "", "", '0 AVAL'!B61)</f>
        <v/>
      </c>
      <c r="C61" s="39" t="str">
        <f>IF('0 AVAL'!C61 = "", "", '0 AVAL'!C61)</f>
        <v/>
      </c>
      <c r="D61" s="39" t="s">
        <v>160</v>
      </c>
      <c r="E61" s="221"/>
      <c r="F61" s="172"/>
      <c r="G61" s="172"/>
      <c r="H61" s="172"/>
      <c r="I61" s="172"/>
      <c r="J61" s="172"/>
      <c r="K61" s="172"/>
      <c r="L61" s="172"/>
      <c r="M61" s="172"/>
      <c r="N61" s="222"/>
    </row>
    <row r="62" spans="1:14" ht="33" customHeight="1" x14ac:dyDescent="0.25">
      <c r="A62" s="3">
        <v>27</v>
      </c>
      <c r="B62" s="39" t="str">
        <f>IF('0 AVAL'!B62 = "", "", '0 AVAL'!B62)</f>
        <v/>
      </c>
      <c r="C62" s="39" t="str">
        <f>IF('0 AVAL'!C62 = "", "", '0 AVAL'!C62)</f>
        <v/>
      </c>
      <c r="D62" s="39" t="s">
        <v>160</v>
      </c>
      <c r="E62" s="221"/>
      <c r="F62" s="172"/>
      <c r="G62" s="172"/>
      <c r="H62" s="172"/>
      <c r="I62" s="172"/>
      <c r="J62" s="172"/>
      <c r="K62" s="172"/>
      <c r="L62" s="172"/>
      <c r="M62" s="172"/>
      <c r="N62" s="222"/>
    </row>
    <row r="63" spans="1:14" ht="33" customHeight="1" x14ac:dyDescent="0.25">
      <c r="A63" s="3">
        <v>28</v>
      </c>
      <c r="B63" s="39" t="str">
        <f>IF('0 AVAL'!B63 = "", "", '0 AVAL'!B63)</f>
        <v/>
      </c>
      <c r="C63" s="39" t="str">
        <f>IF('0 AVAL'!C63 = "", "", '0 AVAL'!C63)</f>
        <v/>
      </c>
      <c r="D63" s="39" t="s">
        <v>160</v>
      </c>
      <c r="E63" s="221"/>
      <c r="F63" s="172"/>
      <c r="G63" s="172"/>
      <c r="H63" s="172"/>
      <c r="I63" s="172"/>
      <c r="J63" s="172"/>
      <c r="K63" s="172"/>
      <c r="L63" s="172"/>
      <c r="M63" s="172"/>
      <c r="N63" s="222"/>
    </row>
    <row r="64" spans="1:14" ht="33" customHeight="1" x14ac:dyDescent="0.25">
      <c r="A64" s="3">
        <v>29</v>
      </c>
      <c r="B64" s="39" t="str">
        <f>IF('0 AVAL'!B64 = "", "", '0 AVAL'!B64)</f>
        <v/>
      </c>
      <c r="C64" s="39" t="str">
        <f>IF('0 AVAL'!C64 = "", "", '0 AVAL'!C64)</f>
        <v/>
      </c>
      <c r="D64" s="39" t="s">
        <v>160</v>
      </c>
      <c r="E64" s="221"/>
      <c r="F64" s="172"/>
      <c r="G64" s="172"/>
      <c r="H64" s="172"/>
      <c r="I64" s="172"/>
      <c r="J64" s="172"/>
      <c r="K64" s="172"/>
      <c r="L64" s="172"/>
      <c r="M64" s="172"/>
      <c r="N64" s="222"/>
    </row>
    <row r="65" spans="1:14" ht="33" customHeight="1" x14ac:dyDescent="0.25">
      <c r="A65" s="3">
        <v>30</v>
      </c>
      <c r="B65" s="39" t="str">
        <f>IF('0 AVAL'!B65 = "", "", '0 AVAL'!B65)</f>
        <v/>
      </c>
      <c r="C65" s="39" t="str">
        <f>IF('0 AVAL'!C65 = "", "", '0 AVAL'!C65)</f>
        <v/>
      </c>
      <c r="D65" s="39" t="s">
        <v>160</v>
      </c>
      <c r="E65" s="221"/>
      <c r="F65" s="172"/>
      <c r="G65" s="172"/>
      <c r="H65" s="172"/>
      <c r="I65" s="172"/>
      <c r="J65" s="172"/>
      <c r="K65" s="172"/>
      <c r="L65" s="172"/>
      <c r="M65" s="172"/>
      <c r="N65" s="222"/>
    </row>
    <row r="66" spans="1:14" ht="33" customHeight="1" x14ac:dyDescent="0.25">
      <c r="A66" s="3">
        <v>31</v>
      </c>
      <c r="B66" s="39" t="str">
        <f>IF('0 AVAL'!B66 = "", "", '0 AVAL'!B66)</f>
        <v/>
      </c>
      <c r="C66" s="39" t="str">
        <f>IF('0 AVAL'!C66 = "", "", '0 AVAL'!C66)</f>
        <v/>
      </c>
      <c r="D66" s="39" t="s">
        <v>160</v>
      </c>
      <c r="E66" s="58"/>
      <c r="F66" s="59"/>
      <c r="G66" s="59"/>
      <c r="H66" s="59"/>
      <c r="I66" s="59"/>
      <c r="J66" s="59"/>
      <c r="K66" s="59"/>
      <c r="L66" s="59"/>
      <c r="M66" s="59"/>
      <c r="N66" s="60"/>
    </row>
    <row r="67" spans="1:14" ht="33" customHeight="1" x14ac:dyDescent="0.25">
      <c r="A67" s="3">
        <v>32</v>
      </c>
      <c r="B67" s="39" t="str">
        <f>IF('0 AVAL'!B67 = "", "", '0 AVAL'!B67)</f>
        <v/>
      </c>
      <c r="C67" s="39" t="str">
        <f>IF('0 AVAL'!C67 = "", "", '0 AVAL'!C67)</f>
        <v/>
      </c>
      <c r="D67" s="39" t="s">
        <v>160</v>
      </c>
      <c r="E67" s="58"/>
      <c r="F67" s="59"/>
      <c r="G67" s="59"/>
      <c r="H67" s="59"/>
      <c r="I67" s="59"/>
      <c r="J67" s="59"/>
      <c r="K67" s="59"/>
      <c r="L67" s="59"/>
      <c r="M67" s="59"/>
      <c r="N67" s="60"/>
    </row>
    <row r="68" spans="1:14" ht="33" customHeight="1" x14ac:dyDescent="0.25">
      <c r="A68" s="3">
        <v>33</v>
      </c>
      <c r="B68" s="39" t="str">
        <f>IF('0 AVAL'!B68 = "", "", '0 AVAL'!B68)</f>
        <v/>
      </c>
      <c r="C68" s="39" t="str">
        <f>IF('0 AVAL'!C68 = "", "", '0 AVAL'!C68)</f>
        <v/>
      </c>
      <c r="D68" s="39" t="s">
        <v>160</v>
      </c>
      <c r="E68" s="58"/>
      <c r="F68" s="59"/>
      <c r="G68" s="59"/>
      <c r="H68" s="59"/>
      <c r="I68" s="59"/>
      <c r="J68" s="59"/>
      <c r="K68" s="59"/>
      <c r="L68" s="59"/>
      <c r="M68" s="59"/>
      <c r="N68" s="60"/>
    </row>
    <row r="69" spans="1:14" ht="33" customHeight="1" x14ac:dyDescent="0.25">
      <c r="A69" s="3">
        <v>34</v>
      </c>
      <c r="B69" s="39" t="str">
        <f>IF('0 AVAL'!B69 = "", "", '0 AVAL'!B69)</f>
        <v/>
      </c>
      <c r="C69" s="39" t="str">
        <f>IF('0 AVAL'!C69 = "", "", '0 AVAL'!C69)</f>
        <v/>
      </c>
      <c r="D69" s="39" t="s">
        <v>160</v>
      </c>
      <c r="E69" s="58"/>
      <c r="F69" s="59"/>
      <c r="G69" s="59"/>
      <c r="H69" s="59"/>
      <c r="I69" s="59"/>
      <c r="J69" s="59"/>
      <c r="K69" s="59"/>
      <c r="L69" s="59"/>
      <c r="M69" s="59"/>
      <c r="N69" s="60"/>
    </row>
    <row r="70" spans="1:14" ht="33" customHeight="1" x14ac:dyDescent="0.25">
      <c r="A70" s="3">
        <v>35</v>
      </c>
      <c r="B70" s="39" t="str">
        <f>IF('0 AVAL'!B70 = "", "", '0 AVAL'!B70)</f>
        <v/>
      </c>
      <c r="C70" s="39" t="str">
        <f>IF('0 AVAL'!C70 = "", "", '0 AVAL'!C70)</f>
        <v/>
      </c>
      <c r="D70" s="39" t="s">
        <v>160</v>
      </c>
      <c r="E70" s="58"/>
      <c r="F70" s="59"/>
      <c r="G70" s="59"/>
      <c r="H70" s="59"/>
      <c r="I70" s="59"/>
      <c r="J70" s="59"/>
      <c r="K70" s="59"/>
      <c r="L70" s="59"/>
      <c r="M70" s="59"/>
      <c r="N70" s="60"/>
    </row>
    <row r="71" spans="1:14" ht="33" customHeight="1" x14ac:dyDescent="0.25">
      <c r="A71" s="3">
        <v>36</v>
      </c>
      <c r="B71" s="39" t="str">
        <f>IF('0 AVAL'!B71 = "", "", '0 AVAL'!B71)</f>
        <v/>
      </c>
      <c r="C71" s="39" t="str">
        <f>IF('0 AVAL'!C71 = "", "", '0 AVAL'!C71)</f>
        <v/>
      </c>
      <c r="D71" s="39" t="s">
        <v>160</v>
      </c>
      <c r="E71" s="221"/>
      <c r="F71" s="172"/>
      <c r="G71" s="172"/>
      <c r="H71" s="172"/>
      <c r="I71" s="172"/>
      <c r="J71" s="172"/>
      <c r="K71" s="172"/>
      <c r="L71" s="172"/>
      <c r="M71" s="172"/>
      <c r="N71" s="222"/>
    </row>
    <row r="72" spans="1:14" ht="33" customHeight="1" x14ac:dyDescent="0.25">
      <c r="A72" s="3">
        <v>37</v>
      </c>
      <c r="B72" s="39" t="str">
        <f>IF('0 AVAL'!B72 = "", "", '0 AVAL'!B72)</f>
        <v/>
      </c>
      <c r="C72" s="39" t="str">
        <f>IF('0 AVAL'!C72 = "", "", '0 AVAL'!C72)</f>
        <v/>
      </c>
      <c r="D72" s="39" t="s">
        <v>160</v>
      </c>
      <c r="E72" s="221"/>
      <c r="F72" s="172"/>
      <c r="G72" s="172"/>
      <c r="H72" s="172"/>
      <c r="I72" s="172"/>
      <c r="J72" s="172"/>
      <c r="K72" s="172"/>
      <c r="L72" s="172"/>
      <c r="M72" s="172"/>
      <c r="N72" s="222"/>
    </row>
    <row r="73" spans="1:14" ht="33" customHeight="1" x14ac:dyDescent="0.25">
      <c r="A73" s="3">
        <v>38</v>
      </c>
      <c r="B73" s="39" t="str">
        <f>IF('0 AVAL'!B73 = "", "", '0 AVAL'!B73)</f>
        <v/>
      </c>
      <c r="C73" s="39" t="str">
        <f>IF('0 AVAL'!C73 = "", "", '0 AVAL'!C73)</f>
        <v/>
      </c>
      <c r="D73" s="39" t="s">
        <v>160</v>
      </c>
      <c r="E73" s="221"/>
      <c r="F73" s="172"/>
      <c r="G73" s="172"/>
      <c r="H73" s="172"/>
      <c r="I73" s="172"/>
      <c r="J73" s="172"/>
      <c r="K73" s="172"/>
      <c r="L73" s="172"/>
      <c r="M73" s="172"/>
      <c r="N73" s="222"/>
    </row>
    <row r="74" spans="1:14" ht="33" customHeight="1" x14ac:dyDescent="0.25">
      <c r="A74" s="3">
        <v>39</v>
      </c>
      <c r="B74" s="39" t="str">
        <f>IF('0 AVAL'!B74 = "", "", '0 AVAL'!B74)</f>
        <v/>
      </c>
      <c r="C74" s="39" t="str">
        <f>IF('0 AVAL'!C74 = "", "", '0 AVAL'!C74)</f>
        <v/>
      </c>
      <c r="D74" s="39" t="s">
        <v>160</v>
      </c>
      <c r="E74" s="221"/>
      <c r="F74" s="172"/>
      <c r="G74" s="172"/>
      <c r="H74" s="172"/>
      <c r="I74" s="172"/>
      <c r="J74" s="172"/>
      <c r="K74" s="172"/>
      <c r="L74" s="172"/>
      <c r="M74" s="172"/>
      <c r="N74" s="222"/>
    </row>
    <row r="75" spans="1:14" ht="33" customHeight="1" x14ac:dyDescent="0.25">
      <c r="A75" s="3">
        <v>40</v>
      </c>
      <c r="B75" s="39" t="str">
        <f>IF('0 AVAL'!B75 = "", "", '0 AVAL'!B75)</f>
        <v/>
      </c>
      <c r="C75" s="39" t="str">
        <f>IF('0 AVAL'!C75 = "", "", '0 AVAL'!C75)</f>
        <v/>
      </c>
      <c r="D75" s="39" t="s">
        <v>160</v>
      </c>
      <c r="E75" s="221"/>
      <c r="F75" s="172"/>
      <c r="G75" s="172"/>
      <c r="H75" s="172"/>
      <c r="I75" s="172"/>
      <c r="J75" s="172"/>
      <c r="K75" s="172"/>
      <c r="L75" s="172"/>
      <c r="M75" s="172"/>
      <c r="N75" s="222"/>
    </row>
    <row r="76" spans="1:14" ht="36" customHeight="1" thickBot="1" x14ac:dyDescent="0.3"/>
    <row r="77" spans="1:14" s="13" customFormat="1" ht="21.4" customHeight="1" thickBot="1" x14ac:dyDescent="0.3">
      <c r="B77" s="229" t="s">
        <v>64</v>
      </c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1"/>
    </row>
    <row r="78" spans="1:14" x14ac:dyDescent="0.25">
      <c r="B78" s="2"/>
      <c r="C78" s="2"/>
      <c r="D78" s="2"/>
      <c r="E78" s="2"/>
      <c r="F78" s="2"/>
      <c r="G78" s="2"/>
      <c r="H78" s="2"/>
      <c r="I78" s="2"/>
      <c r="J78" s="61" t="s">
        <v>65</v>
      </c>
      <c r="K78" s="61" t="s">
        <v>66</v>
      </c>
      <c r="L78" s="61"/>
      <c r="M78" s="61"/>
      <c r="N78" s="61"/>
    </row>
    <row r="79" spans="1:14" ht="15.6" customHeight="1" x14ac:dyDescent="0.25">
      <c r="A79" s="62">
        <v>1</v>
      </c>
      <c r="B79" s="223"/>
      <c r="C79" s="172"/>
      <c r="D79" s="172"/>
      <c r="E79" s="172"/>
      <c r="F79" s="172"/>
      <c r="G79" s="172"/>
      <c r="H79" s="172"/>
      <c r="I79" s="172"/>
      <c r="J79" s="63"/>
      <c r="K79" s="226"/>
      <c r="L79" s="172"/>
      <c r="M79" s="172"/>
      <c r="N79" s="172"/>
    </row>
    <row r="80" spans="1:14" ht="15.6" customHeight="1" x14ac:dyDescent="0.25">
      <c r="A80" s="62">
        <v>2</v>
      </c>
      <c r="B80" s="224"/>
      <c r="C80" s="193"/>
      <c r="D80" s="193"/>
      <c r="E80" s="193"/>
      <c r="F80" s="193"/>
      <c r="G80" s="193"/>
      <c r="H80" s="193"/>
      <c r="I80" s="193"/>
      <c r="J80" s="63"/>
      <c r="K80" s="226"/>
      <c r="L80" s="172"/>
      <c r="M80" s="172"/>
      <c r="N80" s="172"/>
    </row>
    <row r="81" spans="1:14" x14ac:dyDescent="0.25">
      <c r="A81" s="62">
        <v>3</v>
      </c>
      <c r="B81" s="224"/>
      <c r="C81" s="193"/>
      <c r="D81" s="193"/>
      <c r="E81" s="193"/>
      <c r="F81" s="193"/>
      <c r="G81" s="193"/>
      <c r="H81" s="193"/>
      <c r="I81" s="193"/>
      <c r="J81" s="63"/>
      <c r="K81" s="226"/>
      <c r="L81" s="172"/>
      <c r="M81" s="172"/>
      <c r="N81" s="172"/>
    </row>
    <row r="82" spans="1:14" x14ac:dyDescent="0.25">
      <c r="A82" s="62">
        <v>4</v>
      </c>
      <c r="B82" s="224"/>
      <c r="C82" s="193"/>
      <c r="D82" s="193"/>
      <c r="E82" s="193"/>
      <c r="F82" s="193"/>
      <c r="G82" s="193"/>
      <c r="H82" s="193"/>
      <c r="I82" s="193"/>
      <c r="J82" s="63"/>
      <c r="K82" s="226"/>
      <c r="L82" s="172"/>
      <c r="M82" s="172"/>
      <c r="N82" s="172"/>
    </row>
    <row r="83" spans="1:14" x14ac:dyDescent="0.25">
      <c r="A83" s="62">
        <v>5</v>
      </c>
      <c r="B83" s="224"/>
      <c r="C83" s="193"/>
      <c r="D83" s="193"/>
      <c r="E83" s="193"/>
      <c r="F83" s="193"/>
      <c r="G83" s="193"/>
      <c r="H83" s="193"/>
      <c r="I83" s="193"/>
      <c r="J83" s="63"/>
      <c r="K83" s="226"/>
      <c r="L83" s="172"/>
      <c r="M83" s="172"/>
      <c r="N83" s="172"/>
    </row>
    <row r="84" spans="1:14" x14ac:dyDescent="0.25">
      <c r="A84" s="62">
        <v>6</v>
      </c>
      <c r="B84" s="224"/>
      <c r="C84" s="193"/>
      <c r="D84" s="193"/>
      <c r="E84" s="193"/>
      <c r="F84" s="193"/>
      <c r="G84" s="193"/>
      <c r="H84" s="193"/>
      <c r="I84" s="193"/>
      <c r="J84" s="63"/>
      <c r="K84" s="226"/>
      <c r="L84" s="172"/>
      <c r="M84" s="172"/>
      <c r="N84" s="172"/>
    </row>
    <row r="85" spans="1:14" ht="16.149999999999999" customHeight="1" thickBot="1" x14ac:dyDescent="0.3">
      <c r="A85" s="62">
        <v>7</v>
      </c>
      <c r="B85" s="228"/>
      <c r="C85" s="206"/>
      <c r="D85" s="206"/>
      <c r="E85" s="206"/>
      <c r="F85" s="206"/>
      <c r="G85" s="206"/>
      <c r="H85" s="206"/>
      <c r="I85" s="206"/>
      <c r="J85" s="64"/>
      <c r="K85" s="225"/>
      <c r="L85" s="196"/>
      <c r="M85" s="196"/>
      <c r="N85" s="196"/>
    </row>
    <row r="86" spans="1:14" ht="36" customHeight="1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s="13" customFormat="1" ht="21.4" customHeight="1" thickBot="1" x14ac:dyDescent="0.3">
      <c r="B87" s="229" t="s">
        <v>67</v>
      </c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1"/>
    </row>
    <row r="88" spans="1:14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0.75" customHeight="1" x14ac:dyDescent="0.25">
      <c r="A89" s="62">
        <v>1</v>
      </c>
      <c r="B89" s="219" t="str">
        <f>IF(ACORDS!E17 = "", "", ACORDS!E17)</f>
        <v/>
      </c>
      <c r="C89" s="172"/>
      <c r="D89" s="172"/>
      <c r="E89" s="172"/>
      <c r="F89" s="172"/>
      <c r="G89" s="172"/>
      <c r="H89" s="172"/>
      <c r="I89" s="172"/>
      <c r="J89" s="227" t="s">
        <v>52</v>
      </c>
      <c r="K89" s="200"/>
      <c r="L89" s="200"/>
      <c r="M89" s="200"/>
      <c r="N89" s="201"/>
    </row>
    <row r="90" spans="1:14" ht="30.75" customHeight="1" x14ac:dyDescent="0.25">
      <c r="A90" s="62">
        <v>2</v>
      </c>
      <c r="B90" s="219" t="str">
        <f>IF(ACORDS!E18 = "", "", ACORDS!E18)</f>
        <v/>
      </c>
      <c r="C90" s="172"/>
      <c r="D90" s="172"/>
      <c r="E90" s="172"/>
      <c r="F90" s="172"/>
      <c r="G90" s="172"/>
      <c r="H90" s="172"/>
      <c r="I90" s="172"/>
      <c r="J90" s="202"/>
      <c r="K90" s="209"/>
      <c r="L90" s="209"/>
      <c r="M90" s="209"/>
      <c r="N90" s="204"/>
    </row>
    <row r="91" spans="1:14" ht="30.75" customHeight="1" x14ac:dyDescent="0.25">
      <c r="A91" s="62">
        <v>3</v>
      </c>
      <c r="B91" s="219" t="str">
        <f>IF(ACORDS!E19 = "", "", ACORDS!E19)</f>
        <v/>
      </c>
      <c r="C91" s="172"/>
      <c r="D91" s="172"/>
      <c r="E91" s="172"/>
      <c r="F91" s="172"/>
      <c r="G91" s="172"/>
      <c r="H91" s="172"/>
      <c r="I91" s="172"/>
      <c r="J91" s="202"/>
      <c r="K91" s="209"/>
      <c r="L91" s="209"/>
      <c r="M91" s="209"/>
      <c r="N91" s="204"/>
    </row>
    <row r="92" spans="1:14" ht="30.75" customHeight="1" x14ac:dyDescent="0.25">
      <c r="A92" s="62">
        <v>4</v>
      </c>
      <c r="B92" s="219" t="str">
        <f>IF(ACORDS!E20 = "", "", ACORDS!E20)</f>
        <v/>
      </c>
      <c r="C92" s="172"/>
      <c r="D92" s="172"/>
      <c r="E92" s="172"/>
      <c r="F92" s="172"/>
      <c r="G92" s="172"/>
      <c r="H92" s="172"/>
      <c r="I92" s="172"/>
      <c r="J92" s="202"/>
      <c r="K92" s="209"/>
      <c r="L92" s="209"/>
      <c r="M92" s="209"/>
      <c r="N92" s="204"/>
    </row>
    <row r="93" spans="1:14" ht="30.75" customHeight="1" x14ac:dyDescent="0.25">
      <c r="A93" s="62">
        <v>5</v>
      </c>
      <c r="B93" s="219" t="str">
        <f>IF(ACORDS!E21 = "", "", ACORDS!E21)</f>
        <v/>
      </c>
      <c r="C93" s="172"/>
      <c r="D93" s="172"/>
      <c r="E93" s="172"/>
      <c r="F93" s="172"/>
      <c r="G93" s="172"/>
      <c r="H93" s="172"/>
      <c r="I93" s="172"/>
      <c r="J93" s="202"/>
      <c r="K93" s="209"/>
      <c r="L93" s="209"/>
      <c r="M93" s="209"/>
      <c r="N93" s="204"/>
    </row>
    <row r="94" spans="1:14" ht="30.75" customHeight="1" x14ac:dyDescent="0.25">
      <c r="A94" s="62">
        <v>6</v>
      </c>
      <c r="B94" s="219" t="str">
        <f>IF(ACORDS!E22 = "", "", ACORDS!E22)</f>
        <v/>
      </c>
      <c r="C94" s="172"/>
      <c r="D94" s="172"/>
      <c r="E94" s="172"/>
      <c r="F94" s="172"/>
      <c r="G94" s="172"/>
      <c r="H94" s="172"/>
      <c r="I94" s="172"/>
      <c r="J94" s="202"/>
      <c r="K94" s="209"/>
      <c r="L94" s="209"/>
      <c r="M94" s="209"/>
      <c r="N94" s="204"/>
    </row>
    <row r="95" spans="1:14" ht="30.75" customHeight="1" thickBot="1" x14ac:dyDescent="0.3">
      <c r="A95" s="62">
        <v>7</v>
      </c>
      <c r="B95" s="219" t="str">
        <f>IF(ACORDS!E23 = "", "", ACORDS!E23)</f>
        <v/>
      </c>
      <c r="C95" s="172"/>
      <c r="D95" s="172"/>
      <c r="E95" s="172"/>
      <c r="F95" s="172"/>
      <c r="G95" s="172"/>
      <c r="H95" s="172"/>
      <c r="I95" s="172"/>
      <c r="J95" s="205"/>
      <c r="K95" s="206"/>
      <c r="L95" s="206"/>
      <c r="M95" s="206"/>
      <c r="N95" s="207"/>
    </row>
    <row r="96" spans="1:14" x14ac:dyDescent="0.25">
      <c r="B96" s="232" t="s">
        <v>53</v>
      </c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 spans="2:14" x14ac:dyDescent="0.25"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</row>
  </sheetData>
  <mergeCells count="90">
    <mergeCell ref="B83:I83"/>
    <mergeCell ref="E43:N43"/>
    <mergeCell ref="K80:N80"/>
    <mergeCell ref="G26:N31"/>
    <mergeCell ref="B29:C29"/>
    <mergeCell ref="K79:N79"/>
    <mergeCell ref="E73:N73"/>
    <mergeCell ref="E35:N35"/>
    <mergeCell ref="B77:N77"/>
    <mergeCell ref="E63:N63"/>
    <mergeCell ref="K81:N81"/>
    <mergeCell ref="E60:N60"/>
    <mergeCell ref="E57:N57"/>
    <mergeCell ref="B31:C31"/>
    <mergeCell ref="E58:N58"/>
    <mergeCell ref="E42:N42"/>
    <mergeCell ref="E41:N41"/>
    <mergeCell ref="E39:N39"/>
    <mergeCell ref="B82:I82"/>
    <mergeCell ref="B12:N12"/>
    <mergeCell ref="E44:N44"/>
    <mergeCell ref="B14:N14"/>
    <mergeCell ref="B22:N22"/>
    <mergeCell ref="E36:N36"/>
    <mergeCell ref="E45:N45"/>
    <mergeCell ref="B20:N20"/>
    <mergeCell ref="D32:E32"/>
    <mergeCell ref="B80:I80"/>
    <mergeCell ref="E38:N38"/>
    <mergeCell ref="E40:N40"/>
    <mergeCell ref="B17:N17"/>
    <mergeCell ref="B2:C6"/>
    <mergeCell ref="B26:C26"/>
    <mergeCell ref="B33:N33"/>
    <mergeCell ref="B27:C27"/>
    <mergeCell ref="D2:F6"/>
    <mergeCell ref="J5:M5"/>
    <mergeCell ref="G2:G6"/>
    <mergeCell ref="B11:N11"/>
    <mergeCell ref="J2:N2"/>
    <mergeCell ref="B9:N9"/>
    <mergeCell ref="J4:M4"/>
    <mergeCell ref="B96:N97"/>
    <mergeCell ref="B15:N15"/>
    <mergeCell ref="B24:N24"/>
    <mergeCell ref="B93:I93"/>
    <mergeCell ref="E37:N37"/>
    <mergeCell ref="K83:N83"/>
    <mergeCell ref="E62:N62"/>
    <mergeCell ref="E71:N71"/>
    <mergeCell ref="B18:N18"/>
    <mergeCell ref="E64:N64"/>
    <mergeCell ref="B28:C28"/>
    <mergeCell ref="E51:N51"/>
    <mergeCell ref="B30:C30"/>
    <mergeCell ref="E74:N74"/>
    <mergeCell ref="G32:K32"/>
    <mergeCell ref="E48:N48"/>
    <mergeCell ref="B92:I92"/>
    <mergeCell ref="K84:N84"/>
    <mergeCell ref="B91:I91"/>
    <mergeCell ref="J3:M3"/>
    <mergeCell ref="K82:N82"/>
    <mergeCell ref="J89:N95"/>
    <mergeCell ref="E59:N59"/>
    <mergeCell ref="B85:I85"/>
    <mergeCell ref="B87:N87"/>
    <mergeCell ref="E46:N46"/>
    <mergeCell ref="E61:N61"/>
    <mergeCell ref="E54:N54"/>
    <mergeCell ref="E72:N72"/>
    <mergeCell ref="E47:N47"/>
    <mergeCell ref="E56:N56"/>
    <mergeCell ref="J6:M6"/>
    <mergeCell ref="B94:I94"/>
    <mergeCell ref="J7:M7"/>
    <mergeCell ref="B95:I95"/>
    <mergeCell ref="B89:I89"/>
    <mergeCell ref="E65:N65"/>
    <mergeCell ref="B79:I79"/>
    <mergeCell ref="E49:N49"/>
    <mergeCell ref="B81:I81"/>
    <mergeCell ref="B90:I90"/>
    <mergeCell ref="E75:N75"/>
    <mergeCell ref="E53:N53"/>
    <mergeCell ref="E50:N50"/>
    <mergeCell ref="E55:N55"/>
    <mergeCell ref="E52:N52"/>
    <mergeCell ref="K85:N85"/>
    <mergeCell ref="B84:I84"/>
  </mergeCells>
  <conditionalFormatting sqref="D32">
    <cfRule type="containsText" dxfId="31" priority="1" operator="containsText" text="Revisar núm.">
      <formula>NOT(ISERROR(SEARCH("Revisar núm.",D32)))</formula>
    </cfRule>
  </conditionalFormatting>
  <conditionalFormatting sqref="J79:J85">
    <cfRule type="containsText" dxfId="30" priority="2" operator="containsText" text="No">
      <formula>NOT(ISERROR(SEARCH("No",J79)))</formula>
    </cfRule>
    <cfRule type="containsText" dxfId="29" priority="3" operator="containsText" text="Procés">
      <formula>NOT(ISERROR(SEARCH("Procés",J79)))</formula>
    </cfRule>
    <cfRule type="containsText" dxfId="28" priority="4" operator="containsText" text="Fet">
      <formula>NOT(ISERROR(SEARCH("Fet",J79)))</formula>
    </cfRule>
  </conditionalFormatting>
  <dataValidations count="2">
    <dataValidation allowBlank="1" showInputMessage="1" showErrorMessage="1" sqref="J6:M6" xr:uid="{00000000-0002-0000-0300-000000000000}"/>
    <dataValidation type="date" allowBlank="1" showInputMessage="1" showErrorMessage="1" sqref="J7" xr:uid="{00000000-0002-0000-0300-000001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100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5703125" style="17" customWidth="1"/>
    <col min="2" max="2" width="21.7109375" style="17" customWidth="1"/>
    <col min="3" max="3" width="25.28515625" style="17" customWidth="1"/>
    <col min="4" max="8" width="12.5703125" style="17" customWidth="1"/>
    <col min="9" max="9" width="17.28515625" style="17" customWidth="1"/>
    <col min="10" max="11" width="15.85546875" style="17" customWidth="1"/>
    <col min="12" max="14" width="12.5703125" style="17" customWidth="1"/>
    <col min="15" max="15" width="3.5703125" style="17" customWidth="1"/>
    <col min="16" max="22" width="9.140625" style="17" hidden="1" customWidth="1"/>
    <col min="23" max="181" width="4.42578125" style="17" hidden="1" customWidth="1"/>
    <col min="182" max="16383" width="0" style="17" hidden="1"/>
    <col min="16384" max="16384" width="5.7109375" style="17" hidden="1" customWidth="1"/>
  </cols>
  <sheetData>
    <row r="1" spans="2:14" ht="15.75" customHeight="1" x14ac:dyDescent="0.25">
      <c r="B1" s="65"/>
      <c r="C1" s="65"/>
      <c r="D1" s="65"/>
      <c r="E1" s="65"/>
      <c r="F1" s="65"/>
      <c r="G1" s="65"/>
      <c r="H1" s="65"/>
      <c r="I1" s="66" t="s">
        <v>0</v>
      </c>
      <c r="J1" s="66"/>
      <c r="K1" s="66"/>
      <c r="L1" s="67"/>
      <c r="M1" s="66"/>
    </row>
    <row r="2" spans="2:14" ht="15.75" customHeight="1" x14ac:dyDescent="0.25">
      <c r="B2" s="253" t="e">
        <v>#VALUE!</v>
      </c>
      <c r="C2" s="250"/>
      <c r="D2" s="253" t="e">
        <v>#VALUE!</v>
      </c>
      <c r="E2" s="250"/>
      <c r="F2" s="250"/>
      <c r="G2" s="253"/>
      <c r="H2" s="68"/>
      <c r="J2" s="250"/>
      <c r="K2" s="250"/>
      <c r="L2" s="250"/>
      <c r="M2" s="250"/>
      <c r="N2" s="250"/>
    </row>
    <row r="3" spans="2:14" ht="15.75" customHeight="1" x14ac:dyDescent="0.25">
      <c r="B3" s="250"/>
      <c r="C3" s="250"/>
      <c r="D3" s="250"/>
      <c r="E3" s="250"/>
      <c r="F3" s="250"/>
      <c r="G3" s="250"/>
      <c r="H3" s="6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2:14" ht="15.75" customHeight="1" x14ac:dyDescent="0.25">
      <c r="B4" s="250"/>
      <c r="C4" s="250"/>
      <c r="D4" s="250"/>
      <c r="E4" s="250"/>
      <c r="F4" s="250"/>
      <c r="G4" s="250"/>
      <c r="H4" s="6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2:14" ht="15.75" customHeight="1" x14ac:dyDescent="0.25">
      <c r="B5" s="250"/>
      <c r="C5" s="250"/>
      <c r="D5" s="250"/>
      <c r="E5" s="250"/>
      <c r="F5" s="250"/>
      <c r="G5" s="250"/>
      <c r="H5" s="68"/>
      <c r="I5" s="47" t="s">
        <v>3</v>
      </c>
      <c r="J5" s="182" t="str">
        <f>IF(ficha_alum!K5 = "", "", ficha_alum!K5)</f>
        <v/>
      </c>
      <c r="K5" s="172"/>
      <c r="L5" s="172"/>
      <c r="M5" s="172"/>
    </row>
    <row r="6" spans="2:14" ht="15.75" customHeight="1" thickBot="1" x14ac:dyDescent="0.3">
      <c r="B6" s="250"/>
      <c r="C6" s="250"/>
      <c r="D6" s="250"/>
      <c r="E6" s="250"/>
      <c r="F6" s="250"/>
      <c r="G6" s="250"/>
      <c r="H6" s="68"/>
      <c r="I6" s="48" t="s">
        <v>10</v>
      </c>
      <c r="J6" s="237" t="s">
        <v>7</v>
      </c>
      <c r="K6" s="196"/>
      <c r="L6" s="196"/>
      <c r="M6" s="196"/>
    </row>
    <row r="7" spans="2:14" x14ac:dyDescent="0.25">
      <c r="B7" s="65"/>
      <c r="C7" s="65"/>
      <c r="D7" s="68"/>
      <c r="E7" s="68"/>
      <c r="F7" s="68"/>
      <c r="G7" s="68"/>
      <c r="H7" s="68"/>
      <c r="I7" s="49" t="s">
        <v>12</v>
      </c>
      <c r="J7" s="220"/>
      <c r="K7" s="177"/>
      <c r="L7" s="177"/>
      <c r="M7" s="177"/>
    </row>
    <row r="8" spans="2:14" ht="27" customHeight="1" x14ac:dyDescent="0.25"/>
    <row r="9" spans="2:14" s="69" customFormat="1" ht="21" customHeight="1" x14ac:dyDescent="0.25">
      <c r="B9" s="214" t="s">
        <v>13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</row>
    <row r="11" spans="2:14" ht="15.6" customHeight="1" x14ac:dyDescent="0.25">
      <c r="B11" s="238" t="s">
        <v>14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</row>
    <row r="12" spans="2:14" ht="56.25" customHeight="1" x14ac:dyDescent="0.25">
      <c r="B12" s="233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222"/>
    </row>
    <row r="13" spans="2:14" ht="27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4" x14ac:dyDescent="0.25">
      <c r="B14" s="238" t="s">
        <v>15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</row>
    <row r="15" spans="2:14" ht="56.25" customHeight="1" x14ac:dyDescent="0.25">
      <c r="B15" s="233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222"/>
    </row>
    <row r="16" spans="2:14" ht="27" customHeight="1" x14ac:dyDescent="0.25"/>
    <row r="17" spans="2:14" x14ac:dyDescent="0.25">
      <c r="B17" s="238" t="s">
        <v>54</v>
      </c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</row>
    <row r="18" spans="2:14" ht="56.25" customHeight="1" x14ac:dyDescent="0.25">
      <c r="B18" s="233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222"/>
    </row>
    <row r="19" spans="2:14" ht="27" customHeight="1" x14ac:dyDescent="0.25"/>
    <row r="20" spans="2:14" s="69" customFormat="1" ht="21" customHeight="1" x14ac:dyDescent="0.25">
      <c r="B20" s="214" t="s">
        <v>17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</row>
    <row r="21" spans="2:14" x14ac:dyDescent="0.25"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4" ht="56.25" customHeight="1" x14ac:dyDescent="0.25">
      <c r="B22" s="233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222"/>
    </row>
    <row r="23" spans="2:14" ht="27" customHeight="1" x14ac:dyDescent="0.25"/>
    <row r="24" spans="2:14" s="69" customFormat="1" ht="21" customHeight="1" x14ac:dyDescent="0.25">
      <c r="B24" s="214" t="s">
        <v>55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</row>
    <row r="25" spans="2:14" x14ac:dyDescent="0.25">
      <c r="B25" s="50" t="s">
        <v>56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1"/>
      <c r="N25" s="71"/>
    </row>
    <row r="26" spans="2:14" ht="18.75" customHeight="1" x14ac:dyDescent="0.25">
      <c r="B26" s="235" t="s">
        <v>57</v>
      </c>
      <c r="C26" s="250"/>
      <c r="D26" s="30">
        <f>COUNTIFS($C$39:$C$78,"&lt;&gt;",$D$39:$D$78,"&lt;&gt;Baixa")-COUNTBLANK($C$39:$C$78)</f>
        <v>0</v>
      </c>
      <c r="E26" s="54" t="s">
        <v>23</v>
      </c>
      <c r="F26" s="70"/>
      <c r="G26" s="72" t="s">
        <v>68</v>
      </c>
      <c r="I26" s="73"/>
      <c r="J26" s="73"/>
      <c r="L26" s="74" t="s">
        <v>69</v>
      </c>
      <c r="M26" s="75" t="s">
        <v>70</v>
      </c>
      <c r="N26" s="57"/>
    </row>
    <row r="27" spans="2:14" ht="18.75" customHeight="1" x14ac:dyDescent="0.25">
      <c r="B27" s="235" t="s">
        <v>26</v>
      </c>
      <c r="C27" s="250"/>
      <c r="D27" s="30">
        <f>COUNTIFS($D$39:$D$78,"Baixa")</f>
        <v>0</v>
      </c>
      <c r="E27" s="55" t="str">
        <f>IFERROR(D27/$D$26,"-")</f>
        <v>-</v>
      </c>
      <c r="F27" s="70"/>
      <c r="G27" s="76" t="s">
        <v>71</v>
      </c>
      <c r="H27" s="77"/>
      <c r="I27" s="77"/>
      <c r="J27" s="77"/>
      <c r="K27" s="77"/>
      <c r="L27" s="78">
        <v>0</v>
      </c>
      <c r="M27" s="79" t="str">
        <f>IFERROR(L27/$D$26,"-")</f>
        <v>-</v>
      </c>
      <c r="N27" s="80"/>
    </row>
    <row r="28" spans="2:14" ht="18.75" customHeight="1" x14ac:dyDescent="0.25">
      <c r="B28" s="235" t="s">
        <v>59</v>
      </c>
      <c r="C28" s="250"/>
      <c r="D28" s="32">
        <v>0</v>
      </c>
      <c r="E28" s="55" t="str">
        <f>IFERROR(D28/$D$26,"-")</f>
        <v>-</v>
      </c>
      <c r="F28" s="70"/>
      <c r="G28" s="254" t="s">
        <v>72</v>
      </c>
      <c r="H28" s="250"/>
      <c r="I28" s="250"/>
      <c r="J28" s="250"/>
      <c r="K28" s="250"/>
      <c r="L28" s="81"/>
      <c r="M28" s="81"/>
      <c r="N28" s="81"/>
    </row>
    <row r="29" spans="2:14" ht="18.75" customHeight="1" x14ac:dyDescent="0.25">
      <c r="B29" s="235" t="s">
        <v>60</v>
      </c>
      <c r="C29" s="250"/>
      <c r="D29" s="32">
        <v>0</v>
      </c>
      <c r="E29" s="55" t="str">
        <f>IFERROR(D29/$D$26,"-")</f>
        <v>-</v>
      </c>
      <c r="F29" s="70"/>
      <c r="G29" s="250"/>
      <c r="H29" s="250"/>
      <c r="I29" s="250"/>
      <c r="J29" s="250"/>
      <c r="K29" s="250"/>
      <c r="L29" s="74" t="s">
        <v>69</v>
      </c>
      <c r="M29" s="75" t="s">
        <v>70</v>
      </c>
      <c r="N29" s="57"/>
    </row>
    <row r="30" spans="2:14" ht="18.75" customHeight="1" x14ac:dyDescent="0.25">
      <c r="B30" s="235" t="s">
        <v>61</v>
      </c>
      <c r="C30" s="250"/>
      <c r="D30" s="32">
        <v>0</v>
      </c>
      <c r="E30" s="55" t="str">
        <f>IFERROR(D30/$D$26,"-")</f>
        <v>-</v>
      </c>
      <c r="F30" s="70"/>
      <c r="G30" s="76" t="s">
        <v>73</v>
      </c>
      <c r="H30" s="77"/>
      <c r="I30" s="82"/>
      <c r="J30" s="82"/>
      <c r="K30" s="77"/>
      <c r="L30" s="78">
        <v>0</v>
      </c>
      <c r="M30" s="79" t="str">
        <f>IFERROR(L30/$D$26,"-")</f>
        <v>-</v>
      </c>
      <c r="N30" s="57"/>
    </row>
    <row r="31" spans="2:14" ht="18.75" customHeight="1" x14ac:dyDescent="0.25">
      <c r="B31" s="235" t="s">
        <v>62</v>
      </c>
      <c r="C31" s="250"/>
      <c r="D31" s="56">
        <v>0</v>
      </c>
      <c r="E31" s="55" t="str">
        <f>IFERROR(D31/$D$26,"-")</f>
        <v>-</v>
      </c>
      <c r="F31" s="70"/>
      <c r="G31" s="256" t="s">
        <v>74</v>
      </c>
      <c r="H31" s="250"/>
      <c r="I31" s="250"/>
      <c r="J31" s="250"/>
      <c r="K31" s="250"/>
      <c r="L31" s="75"/>
      <c r="M31" s="57"/>
      <c r="N31" s="57"/>
    </row>
    <row r="32" spans="2:14" ht="18.75" customHeight="1" x14ac:dyDescent="0.25">
      <c r="B32" s="53"/>
      <c r="C32" s="53"/>
      <c r="D32" s="75"/>
      <c r="E32" s="57"/>
      <c r="F32" s="70"/>
      <c r="G32" s="247"/>
      <c r="H32" s="247"/>
      <c r="I32" s="247"/>
      <c r="J32" s="247"/>
      <c r="K32" s="247"/>
      <c r="L32" s="75"/>
      <c r="M32" s="57"/>
      <c r="N32" s="57"/>
    </row>
    <row r="33" spans="1:14" ht="18.75" customHeight="1" x14ac:dyDescent="0.25">
      <c r="B33" s="53"/>
      <c r="C33" s="255" t="s">
        <v>58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3"/>
      <c r="N33" s="57"/>
    </row>
    <row r="34" spans="1:14" ht="18.75" customHeight="1" x14ac:dyDescent="0.25">
      <c r="B34" s="53"/>
      <c r="C34" s="246"/>
      <c r="D34" s="247"/>
      <c r="E34" s="247"/>
      <c r="F34" s="247"/>
      <c r="G34" s="247"/>
      <c r="H34" s="247"/>
      <c r="I34" s="247"/>
      <c r="J34" s="247"/>
      <c r="K34" s="247"/>
      <c r="L34" s="247"/>
      <c r="M34" s="248"/>
      <c r="N34" s="57"/>
    </row>
    <row r="35" spans="1:14" ht="27" customHeight="1" x14ac:dyDescent="0.25"/>
    <row r="36" spans="1:14" s="69" customFormat="1" ht="21" customHeight="1" x14ac:dyDescent="0.25">
      <c r="B36" s="214" t="s">
        <v>37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</row>
    <row r="38" spans="1:14" s="83" customFormat="1" ht="32.25" customHeight="1" x14ac:dyDescent="0.25">
      <c r="B38" s="39" t="s">
        <v>38</v>
      </c>
      <c r="C38" s="39" t="s">
        <v>39</v>
      </c>
      <c r="D38" s="40" t="s">
        <v>75</v>
      </c>
      <c r="E38" s="249" t="s">
        <v>76</v>
      </c>
      <c r="F38" s="172"/>
      <c r="G38" s="172"/>
      <c r="H38" s="172"/>
      <c r="I38" s="172"/>
      <c r="J38" s="172"/>
      <c r="K38" s="172"/>
      <c r="L38" s="172"/>
      <c r="M38" s="172"/>
      <c r="N38" s="222"/>
    </row>
    <row r="39" spans="1:14" ht="33" customHeight="1" x14ac:dyDescent="0.25">
      <c r="A39" s="83">
        <v>1</v>
      </c>
      <c r="B39" s="39" t="str">
        <f>IF('0 AVAL'!B36 = "", "", '0 AVAL'!B36)</f>
        <v/>
      </c>
      <c r="C39" s="39" t="str">
        <f>IF('0 AVAL'!C36 = "", "", '0 AVAL'!C36)</f>
        <v/>
      </c>
      <c r="D39" s="39"/>
      <c r="E39" s="221"/>
      <c r="F39" s="172"/>
      <c r="G39" s="172"/>
      <c r="H39" s="172"/>
      <c r="I39" s="172"/>
      <c r="J39" s="172"/>
      <c r="K39" s="172"/>
      <c r="L39" s="172"/>
      <c r="M39" s="172"/>
      <c r="N39" s="222"/>
    </row>
    <row r="40" spans="1:14" ht="33" customHeight="1" x14ac:dyDescent="0.25">
      <c r="A40" s="83">
        <v>2</v>
      </c>
      <c r="B40" s="39" t="str">
        <f>IF('0 AVAL'!B37 = "", "", '0 AVAL'!B37)</f>
        <v/>
      </c>
      <c r="C40" s="39" t="str">
        <f>IF('0 AVAL'!C37 = "", "", '0 AVAL'!C37)</f>
        <v/>
      </c>
      <c r="D40" s="39"/>
      <c r="E40" s="221"/>
      <c r="F40" s="172"/>
      <c r="G40" s="172"/>
      <c r="H40" s="172"/>
      <c r="I40" s="172"/>
      <c r="J40" s="172"/>
      <c r="K40" s="172"/>
      <c r="L40" s="172"/>
      <c r="M40" s="172"/>
      <c r="N40" s="222"/>
    </row>
    <row r="41" spans="1:14" ht="33" customHeight="1" x14ac:dyDescent="0.25">
      <c r="A41" s="83">
        <v>3</v>
      </c>
      <c r="B41" s="39" t="str">
        <f>IF('0 AVAL'!B38 = "", "", '0 AVAL'!B38)</f>
        <v/>
      </c>
      <c r="C41" s="39" t="str">
        <f>IF('0 AVAL'!C38 = "", "", '0 AVAL'!C38)</f>
        <v/>
      </c>
      <c r="D41" s="39"/>
      <c r="E41" s="221"/>
      <c r="F41" s="172"/>
      <c r="G41" s="172"/>
      <c r="H41" s="172"/>
      <c r="I41" s="172"/>
      <c r="J41" s="172"/>
      <c r="K41" s="172"/>
      <c r="L41" s="172"/>
      <c r="M41" s="172"/>
      <c r="N41" s="222"/>
    </row>
    <row r="42" spans="1:14" ht="33" customHeight="1" x14ac:dyDescent="0.25">
      <c r="A42" s="83">
        <v>4</v>
      </c>
      <c r="B42" s="39" t="str">
        <f>IF('0 AVAL'!B39 = "", "", '0 AVAL'!B39)</f>
        <v/>
      </c>
      <c r="C42" s="39" t="str">
        <f>IF('0 AVAL'!C39 = "", "", '0 AVAL'!C39)</f>
        <v/>
      </c>
      <c r="D42" s="39"/>
      <c r="E42" s="221"/>
      <c r="F42" s="172"/>
      <c r="G42" s="172"/>
      <c r="H42" s="172"/>
      <c r="I42" s="172"/>
      <c r="J42" s="172"/>
      <c r="K42" s="172"/>
      <c r="L42" s="172"/>
      <c r="M42" s="172"/>
      <c r="N42" s="222"/>
    </row>
    <row r="43" spans="1:14" ht="33" customHeight="1" x14ac:dyDescent="0.25">
      <c r="A43" s="83">
        <v>5</v>
      </c>
      <c r="B43" s="39" t="str">
        <f>IF('0 AVAL'!B40 = "", "", '0 AVAL'!B40)</f>
        <v/>
      </c>
      <c r="C43" s="39" t="str">
        <f>IF('0 AVAL'!C40 = "", "", '0 AVAL'!C40)</f>
        <v/>
      </c>
      <c r="D43" s="39"/>
      <c r="E43" s="221"/>
      <c r="F43" s="172"/>
      <c r="G43" s="172"/>
      <c r="H43" s="172"/>
      <c r="I43" s="172"/>
      <c r="J43" s="172"/>
      <c r="K43" s="172"/>
      <c r="L43" s="172"/>
      <c r="M43" s="172"/>
      <c r="N43" s="222"/>
    </row>
    <row r="44" spans="1:14" ht="33" customHeight="1" x14ac:dyDescent="0.25">
      <c r="A44" s="83">
        <v>6</v>
      </c>
      <c r="B44" s="39" t="str">
        <f>IF('0 AVAL'!B41 = "", "", '0 AVAL'!B41)</f>
        <v/>
      </c>
      <c r="C44" s="39" t="str">
        <f>IF('0 AVAL'!C41 = "", "", '0 AVAL'!C41)</f>
        <v/>
      </c>
      <c r="D44" s="39"/>
      <c r="E44" s="221"/>
      <c r="F44" s="172"/>
      <c r="G44" s="172"/>
      <c r="H44" s="172"/>
      <c r="I44" s="172"/>
      <c r="J44" s="172"/>
      <c r="K44" s="172"/>
      <c r="L44" s="172"/>
      <c r="M44" s="172"/>
      <c r="N44" s="222"/>
    </row>
    <row r="45" spans="1:14" ht="33" customHeight="1" x14ac:dyDescent="0.25">
      <c r="A45" s="83">
        <v>7</v>
      </c>
      <c r="B45" s="39" t="str">
        <f>IF('0 AVAL'!B42 = "", "", '0 AVAL'!B42)</f>
        <v/>
      </c>
      <c r="C45" s="39" t="str">
        <f>IF('0 AVAL'!C42 = "", "", '0 AVAL'!C42)</f>
        <v/>
      </c>
      <c r="D45" s="39"/>
      <c r="E45" s="221"/>
      <c r="F45" s="172"/>
      <c r="G45" s="172"/>
      <c r="H45" s="172"/>
      <c r="I45" s="172"/>
      <c r="J45" s="172"/>
      <c r="K45" s="172"/>
      <c r="L45" s="172"/>
      <c r="M45" s="172"/>
      <c r="N45" s="222"/>
    </row>
    <row r="46" spans="1:14" ht="33" customHeight="1" x14ac:dyDescent="0.25">
      <c r="A46" s="83">
        <v>8</v>
      </c>
      <c r="B46" s="39" t="str">
        <f>IF('0 AVAL'!B43 = "", "", '0 AVAL'!B43)</f>
        <v/>
      </c>
      <c r="C46" s="39" t="str">
        <f>IF('0 AVAL'!C43 = "", "", '0 AVAL'!C43)</f>
        <v/>
      </c>
      <c r="D46" s="39"/>
      <c r="E46" s="221"/>
      <c r="F46" s="172"/>
      <c r="G46" s="172"/>
      <c r="H46" s="172"/>
      <c r="I46" s="172"/>
      <c r="J46" s="172"/>
      <c r="K46" s="172"/>
      <c r="L46" s="172"/>
      <c r="M46" s="172"/>
      <c r="N46" s="222"/>
    </row>
    <row r="47" spans="1:14" ht="33" customHeight="1" x14ac:dyDescent="0.25">
      <c r="A47" s="83">
        <v>9</v>
      </c>
      <c r="B47" s="39" t="str">
        <f>IF('0 AVAL'!B44 = "", "", '0 AVAL'!B44)</f>
        <v/>
      </c>
      <c r="C47" s="39" t="str">
        <f>IF('0 AVAL'!C44 = "", "", '0 AVAL'!C44)</f>
        <v/>
      </c>
      <c r="D47" s="39"/>
      <c r="E47" s="221"/>
      <c r="F47" s="172"/>
      <c r="G47" s="172"/>
      <c r="H47" s="172"/>
      <c r="I47" s="172"/>
      <c r="J47" s="172"/>
      <c r="K47" s="172"/>
      <c r="L47" s="172"/>
      <c r="M47" s="172"/>
      <c r="N47" s="222"/>
    </row>
    <row r="48" spans="1:14" ht="33" customHeight="1" x14ac:dyDescent="0.25">
      <c r="A48" s="83">
        <v>10</v>
      </c>
      <c r="B48" s="39" t="str">
        <f>IF('0 AVAL'!B45 = "", "", '0 AVAL'!B45)</f>
        <v/>
      </c>
      <c r="C48" s="39" t="str">
        <f>IF('0 AVAL'!C45 = "", "", '0 AVAL'!C45)</f>
        <v/>
      </c>
      <c r="D48" s="39"/>
      <c r="E48" s="221"/>
      <c r="F48" s="172"/>
      <c r="G48" s="172"/>
      <c r="H48" s="172"/>
      <c r="I48" s="172"/>
      <c r="J48" s="172"/>
      <c r="K48" s="172"/>
      <c r="L48" s="172"/>
      <c r="M48" s="172"/>
      <c r="N48" s="222"/>
    </row>
    <row r="49" spans="1:14" ht="33" customHeight="1" x14ac:dyDescent="0.25">
      <c r="A49" s="83">
        <v>11</v>
      </c>
      <c r="B49" s="39" t="str">
        <f>IF('0 AVAL'!B46 = "", "", '0 AVAL'!B46)</f>
        <v/>
      </c>
      <c r="C49" s="39" t="str">
        <f>IF('0 AVAL'!C46 = "", "", '0 AVAL'!C46)</f>
        <v/>
      </c>
      <c r="D49" s="39"/>
      <c r="E49" s="221"/>
      <c r="F49" s="172"/>
      <c r="G49" s="172"/>
      <c r="H49" s="172"/>
      <c r="I49" s="172"/>
      <c r="J49" s="172"/>
      <c r="K49" s="172"/>
      <c r="L49" s="172"/>
      <c r="M49" s="172"/>
      <c r="N49" s="222"/>
    </row>
    <row r="50" spans="1:14" ht="33" customHeight="1" x14ac:dyDescent="0.25">
      <c r="A50" s="83">
        <v>12</v>
      </c>
      <c r="B50" s="39" t="str">
        <f>IF('0 AVAL'!B47 = "", "", '0 AVAL'!B47)</f>
        <v/>
      </c>
      <c r="C50" s="39" t="str">
        <f>IF('0 AVAL'!C47 = "", "", '0 AVAL'!C47)</f>
        <v/>
      </c>
      <c r="D50" s="39"/>
      <c r="E50" s="221"/>
      <c r="F50" s="172"/>
      <c r="G50" s="172"/>
      <c r="H50" s="172"/>
      <c r="I50" s="172"/>
      <c r="J50" s="172"/>
      <c r="K50" s="172"/>
      <c r="L50" s="172"/>
      <c r="M50" s="172"/>
      <c r="N50" s="222"/>
    </row>
    <row r="51" spans="1:14" ht="33" customHeight="1" x14ac:dyDescent="0.25">
      <c r="A51" s="83">
        <v>13</v>
      </c>
      <c r="B51" s="39" t="str">
        <f>IF('0 AVAL'!B48 = "", "", '0 AVAL'!B48)</f>
        <v/>
      </c>
      <c r="C51" s="39" t="str">
        <f>IF('0 AVAL'!C48 = "", "", '0 AVAL'!C48)</f>
        <v/>
      </c>
      <c r="D51" s="39"/>
      <c r="E51" s="221"/>
      <c r="F51" s="172"/>
      <c r="G51" s="172"/>
      <c r="H51" s="172"/>
      <c r="I51" s="172"/>
      <c r="J51" s="172"/>
      <c r="K51" s="172"/>
      <c r="L51" s="172"/>
      <c r="M51" s="172"/>
      <c r="N51" s="222"/>
    </row>
    <row r="52" spans="1:14" ht="33" customHeight="1" x14ac:dyDescent="0.25">
      <c r="A52" s="83">
        <v>14</v>
      </c>
      <c r="B52" s="39" t="str">
        <f>IF('0 AVAL'!B49 = "", "", '0 AVAL'!B49)</f>
        <v/>
      </c>
      <c r="C52" s="39" t="str">
        <f>IF('0 AVAL'!C49 = "", "", '0 AVAL'!C49)</f>
        <v/>
      </c>
      <c r="D52" s="39"/>
      <c r="E52" s="221"/>
      <c r="F52" s="172"/>
      <c r="G52" s="172"/>
      <c r="H52" s="172"/>
      <c r="I52" s="172"/>
      <c r="J52" s="172"/>
      <c r="K52" s="172"/>
      <c r="L52" s="172"/>
      <c r="M52" s="172"/>
      <c r="N52" s="222"/>
    </row>
    <row r="53" spans="1:14" ht="33" customHeight="1" x14ac:dyDescent="0.25">
      <c r="A53" s="83">
        <v>15</v>
      </c>
      <c r="B53" s="39" t="str">
        <f>IF('0 AVAL'!B50 = "", "", '0 AVAL'!B50)</f>
        <v/>
      </c>
      <c r="C53" s="39" t="str">
        <f>IF('0 AVAL'!C50 = "", "", '0 AVAL'!C50)</f>
        <v/>
      </c>
      <c r="D53" s="39"/>
      <c r="E53" s="221"/>
      <c r="F53" s="172"/>
      <c r="G53" s="172"/>
      <c r="H53" s="172"/>
      <c r="I53" s="172"/>
      <c r="J53" s="172"/>
      <c r="K53" s="172"/>
      <c r="L53" s="172"/>
      <c r="M53" s="172"/>
      <c r="N53" s="222"/>
    </row>
    <row r="54" spans="1:14" ht="33" customHeight="1" x14ac:dyDescent="0.25">
      <c r="A54" s="83">
        <v>16</v>
      </c>
      <c r="B54" s="39" t="str">
        <f>IF('0 AVAL'!B51 = "", "", '0 AVAL'!B51)</f>
        <v/>
      </c>
      <c r="C54" s="39" t="str">
        <f>IF('0 AVAL'!C51 = "", "", '0 AVAL'!C51)</f>
        <v/>
      </c>
      <c r="D54" s="39"/>
      <c r="E54" s="221"/>
      <c r="F54" s="172"/>
      <c r="G54" s="172"/>
      <c r="H54" s="172"/>
      <c r="I54" s="172"/>
      <c r="J54" s="172"/>
      <c r="K54" s="172"/>
      <c r="L54" s="172"/>
      <c r="M54" s="172"/>
      <c r="N54" s="222"/>
    </row>
    <row r="55" spans="1:14" ht="33" customHeight="1" x14ac:dyDescent="0.25">
      <c r="A55" s="83">
        <v>17</v>
      </c>
      <c r="B55" s="39" t="str">
        <f>IF('0 AVAL'!B52 = "", "", '0 AVAL'!B52)</f>
        <v/>
      </c>
      <c r="C55" s="39" t="str">
        <f>IF('0 AVAL'!C52 = "", "", '0 AVAL'!C52)</f>
        <v/>
      </c>
      <c r="D55" s="39"/>
      <c r="E55" s="221"/>
      <c r="F55" s="172"/>
      <c r="G55" s="172"/>
      <c r="H55" s="172"/>
      <c r="I55" s="172"/>
      <c r="J55" s="172"/>
      <c r="K55" s="172"/>
      <c r="L55" s="172"/>
      <c r="M55" s="172"/>
      <c r="N55" s="222"/>
    </row>
    <row r="56" spans="1:14" ht="33" customHeight="1" x14ac:dyDescent="0.25">
      <c r="A56" s="83">
        <v>18</v>
      </c>
      <c r="B56" s="39" t="str">
        <f>IF('0 AVAL'!B53 = "", "", '0 AVAL'!B53)</f>
        <v/>
      </c>
      <c r="C56" s="39" t="str">
        <f>IF('0 AVAL'!C53 = "", "", '0 AVAL'!C53)</f>
        <v/>
      </c>
      <c r="D56" s="39"/>
      <c r="E56" s="221"/>
      <c r="F56" s="172"/>
      <c r="G56" s="172"/>
      <c r="H56" s="172"/>
      <c r="I56" s="172"/>
      <c r="J56" s="172"/>
      <c r="K56" s="172"/>
      <c r="L56" s="172"/>
      <c r="M56" s="172"/>
      <c r="N56" s="222"/>
    </row>
    <row r="57" spans="1:14" ht="33" customHeight="1" x14ac:dyDescent="0.25">
      <c r="A57" s="83">
        <v>19</v>
      </c>
      <c r="B57" s="39" t="str">
        <f>IF('0 AVAL'!B54 = "", "", '0 AVAL'!B54)</f>
        <v/>
      </c>
      <c r="C57" s="39" t="str">
        <f>IF('0 AVAL'!C54 = "", "", '0 AVAL'!C54)</f>
        <v/>
      </c>
      <c r="D57" s="39"/>
      <c r="E57" s="221"/>
      <c r="F57" s="172"/>
      <c r="G57" s="172"/>
      <c r="H57" s="172"/>
      <c r="I57" s="172"/>
      <c r="J57" s="172"/>
      <c r="K57" s="172"/>
      <c r="L57" s="172"/>
      <c r="M57" s="172"/>
      <c r="N57" s="222"/>
    </row>
    <row r="58" spans="1:14" ht="33" customHeight="1" x14ac:dyDescent="0.25">
      <c r="A58" s="83">
        <v>20</v>
      </c>
      <c r="B58" s="39" t="str">
        <f>IF('0 AVAL'!B55 = "", "", '0 AVAL'!B55)</f>
        <v/>
      </c>
      <c r="C58" s="39" t="str">
        <f>IF('0 AVAL'!C55 = "", "", '0 AVAL'!C55)</f>
        <v/>
      </c>
      <c r="D58" s="39"/>
      <c r="E58" s="221"/>
      <c r="F58" s="172"/>
      <c r="G58" s="172"/>
      <c r="H58" s="172"/>
      <c r="I58" s="172"/>
      <c r="J58" s="172"/>
      <c r="K58" s="172"/>
      <c r="L58" s="172"/>
      <c r="M58" s="172"/>
      <c r="N58" s="222"/>
    </row>
    <row r="59" spans="1:14" ht="33" customHeight="1" x14ac:dyDescent="0.25">
      <c r="A59" s="83">
        <v>21</v>
      </c>
      <c r="B59" s="39" t="str">
        <f>IF('0 AVAL'!B56 = "", "", '0 AVAL'!B56)</f>
        <v/>
      </c>
      <c r="C59" s="39" t="str">
        <f>IF('0 AVAL'!C56 = "", "", '0 AVAL'!C56)</f>
        <v/>
      </c>
      <c r="D59" s="39"/>
      <c r="E59" s="221"/>
      <c r="F59" s="172"/>
      <c r="G59" s="172"/>
      <c r="H59" s="172"/>
      <c r="I59" s="172"/>
      <c r="J59" s="172"/>
      <c r="K59" s="172"/>
      <c r="L59" s="172"/>
      <c r="M59" s="172"/>
      <c r="N59" s="222"/>
    </row>
    <row r="60" spans="1:14" ht="33" customHeight="1" x14ac:dyDescent="0.25">
      <c r="A60" s="83">
        <v>22</v>
      </c>
      <c r="B60" s="39" t="str">
        <f>IF('0 AVAL'!B57 = "", "", '0 AVAL'!B57)</f>
        <v/>
      </c>
      <c r="C60" s="39" t="str">
        <f>IF('0 AVAL'!C57 = "", "", '0 AVAL'!C57)</f>
        <v/>
      </c>
      <c r="D60" s="39"/>
      <c r="E60" s="221"/>
      <c r="F60" s="172"/>
      <c r="G60" s="172"/>
      <c r="H60" s="172"/>
      <c r="I60" s="172"/>
      <c r="J60" s="172"/>
      <c r="K60" s="172"/>
      <c r="L60" s="172"/>
      <c r="M60" s="172"/>
      <c r="N60" s="222"/>
    </row>
    <row r="61" spans="1:14" ht="33" customHeight="1" x14ac:dyDescent="0.25">
      <c r="A61" s="83">
        <v>23</v>
      </c>
      <c r="B61" s="39" t="str">
        <f>IF('0 AVAL'!B58 = "", "", '0 AVAL'!B58)</f>
        <v/>
      </c>
      <c r="C61" s="39" t="str">
        <f>IF('0 AVAL'!C58 = "", "", '0 AVAL'!C58)</f>
        <v/>
      </c>
      <c r="D61" s="39"/>
      <c r="E61" s="221"/>
      <c r="F61" s="172"/>
      <c r="G61" s="172"/>
      <c r="H61" s="172"/>
      <c r="I61" s="172"/>
      <c r="J61" s="172"/>
      <c r="K61" s="172"/>
      <c r="L61" s="172"/>
      <c r="M61" s="172"/>
      <c r="N61" s="222"/>
    </row>
    <row r="62" spans="1:14" ht="33" customHeight="1" x14ac:dyDescent="0.25">
      <c r="A62" s="83">
        <v>24</v>
      </c>
      <c r="B62" s="39" t="str">
        <f>IF('0 AVAL'!B59 = "", "", '0 AVAL'!B59)</f>
        <v/>
      </c>
      <c r="C62" s="39" t="str">
        <f>IF('0 AVAL'!C59 = "", "", '0 AVAL'!C59)</f>
        <v/>
      </c>
      <c r="D62" s="39"/>
      <c r="E62" s="221"/>
      <c r="F62" s="172"/>
      <c r="G62" s="172"/>
      <c r="H62" s="172"/>
      <c r="I62" s="172"/>
      <c r="J62" s="172"/>
      <c r="K62" s="172"/>
      <c r="L62" s="172"/>
      <c r="M62" s="172"/>
      <c r="N62" s="222"/>
    </row>
    <row r="63" spans="1:14" ht="33" customHeight="1" x14ac:dyDescent="0.25">
      <c r="A63" s="83">
        <v>25</v>
      </c>
      <c r="B63" s="39" t="str">
        <f>IF('0 AVAL'!B60 = "", "", '0 AVAL'!B60)</f>
        <v/>
      </c>
      <c r="C63" s="39" t="str">
        <f>IF('0 AVAL'!C60 = "", "", '0 AVAL'!C60)</f>
        <v/>
      </c>
      <c r="D63" s="39"/>
      <c r="E63" s="221"/>
      <c r="F63" s="172"/>
      <c r="G63" s="172"/>
      <c r="H63" s="172"/>
      <c r="I63" s="172"/>
      <c r="J63" s="172"/>
      <c r="K63" s="172"/>
      <c r="L63" s="172"/>
      <c r="M63" s="172"/>
      <c r="N63" s="222"/>
    </row>
    <row r="64" spans="1:14" ht="33" customHeight="1" x14ac:dyDescent="0.25">
      <c r="A64" s="83">
        <v>26</v>
      </c>
      <c r="B64" s="39" t="str">
        <f>IF('0 AVAL'!B61 = "", "", '0 AVAL'!B61)</f>
        <v/>
      </c>
      <c r="C64" s="39" t="str">
        <f>IF('0 AVAL'!C61 = "", "", '0 AVAL'!C61)</f>
        <v/>
      </c>
      <c r="D64" s="39"/>
      <c r="E64" s="221"/>
      <c r="F64" s="172"/>
      <c r="G64" s="172"/>
      <c r="H64" s="172"/>
      <c r="I64" s="172"/>
      <c r="J64" s="172"/>
      <c r="K64" s="172"/>
      <c r="L64" s="172"/>
      <c r="M64" s="172"/>
      <c r="N64" s="222"/>
    </row>
    <row r="65" spans="1:14" ht="33" customHeight="1" x14ac:dyDescent="0.25">
      <c r="A65" s="83">
        <v>27</v>
      </c>
      <c r="B65" s="39" t="str">
        <f>IF('0 AVAL'!B62 = "", "", '0 AVAL'!B62)</f>
        <v/>
      </c>
      <c r="C65" s="39" t="str">
        <f>IF('0 AVAL'!C62 = "", "", '0 AVAL'!C62)</f>
        <v/>
      </c>
      <c r="D65" s="39"/>
      <c r="E65" s="221"/>
      <c r="F65" s="172"/>
      <c r="G65" s="172"/>
      <c r="H65" s="172"/>
      <c r="I65" s="172"/>
      <c r="J65" s="172"/>
      <c r="K65" s="172"/>
      <c r="L65" s="172"/>
      <c r="M65" s="172"/>
      <c r="N65" s="222"/>
    </row>
    <row r="66" spans="1:14" ht="33" customHeight="1" x14ac:dyDescent="0.25">
      <c r="A66" s="83">
        <v>28</v>
      </c>
      <c r="B66" s="39" t="str">
        <f>IF('0 AVAL'!B63 = "", "", '0 AVAL'!B63)</f>
        <v/>
      </c>
      <c r="C66" s="39" t="str">
        <f>IF('0 AVAL'!C63 = "", "", '0 AVAL'!C63)</f>
        <v/>
      </c>
      <c r="D66" s="39"/>
      <c r="E66" s="221"/>
      <c r="F66" s="172"/>
      <c r="G66" s="172"/>
      <c r="H66" s="172"/>
      <c r="I66" s="172"/>
      <c r="J66" s="172"/>
      <c r="K66" s="172"/>
      <c r="L66" s="172"/>
      <c r="M66" s="172"/>
      <c r="N66" s="222"/>
    </row>
    <row r="67" spans="1:14" ht="33" customHeight="1" x14ac:dyDescent="0.25">
      <c r="A67" s="83">
        <v>29</v>
      </c>
      <c r="B67" s="39" t="str">
        <f>IF('0 AVAL'!B64 = "", "", '0 AVAL'!B64)</f>
        <v/>
      </c>
      <c r="C67" s="39" t="str">
        <f>IF('0 AVAL'!C64 = "", "", '0 AVAL'!C64)</f>
        <v/>
      </c>
      <c r="D67" s="39"/>
      <c r="E67" s="221"/>
      <c r="F67" s="172"/>
      <c r="G67" s="172"/>
      <c r="H67" s="172"/>
      <c r="I67" s="172"/>
      <c r="J67" s="172"/>
      <c r="K67" s="172"/>
      <c r="L67" s="172"/>
      <c r="M67" s="172"/>
      <c r="N67" s="222"/>
    </row>
    <row r="68" spans="1:14" ht="33" customHeight="1" x14ac:dyDescent="0.25">
      <c r="A68" s="83">
        <v>30</v>
      </c>
      <c r="B68" s="39" t="str">
        <f>IF('0 AVAL'!B65 = "", "", '0 AVAL'!B65)</f>
        <v/>
      </c>
      <c r="C68" s="39" t="str">
        <f>IF('0 AVAL'!C65 = "", "", '0 AVAL'!C65)</f>
        <v/>
      </c>
      <c r="D68" s="39"/>
      <c r="E68" s="221"/>
      <c r="F68" s="172"/>
      <c r="G68" s="172"/>
      <c r="H68" s="172"/>
      <c r="I68" s="172"/>
      <c r="J68" s="172"/>
      <c r="K68" s="172"/>
      <c r="L68" s="172"/>
      <c r="M68" s="172"/>
      <c r="N68" s="222"/>
    </row>
    <row r="69" spans="1:14" ht="33" customHeight="1" x14ac:dyDescent="0.25">
      <c r="A69" s="83">
        <v>31</v>
      </c>
      <c r="B69" s="39" t="str">
        <f>IF('0 AVAL'!B66 = "", "", '0 AVAL'!B66)</f>
        <v/>
      </c>
      <c r="C69" s="39" t="str">
        <f>IF('0 AVAL'!C66 = "", "", '0 AVAL'!C66)</f>
        <v/>
      </c>
      <c r="D69" s="39"/>
      <c r="E69" s="58"/>
      <c r="F69" s="59"/>
      <c r="G69" s="59"/>
      <c r="H69" s="59"/>
      <c r="I69" s="59"/>
      <c r="J69" s="59"/>
      <c r="K69" s="59"/>
      <c r="L69" s="59"/>
      <c r="M69" s="59"/>
      <c r="N69" s="60"/>
    </row>
    <row r="70" spans="1:14" ht="33" customHeight="1" x14ac:dyDescent="0.25">
      <c r="A70" s="83">
        <v>32</v>
      </c>
      <c r="B70" s="39" t="str">
        <f>IF('0 AVAL'!B67 = "", "", '0 AVAL'!B67)</f>
        <v/>
      </c>
      <c r="C70" s="39" t="str">
        <f>IF('0 AVAL'!C67 = "", "", '0 AVAL'!C67)</f>
        <v/>
      </c>
      <c r="D70" s="39"/>
      <c r="E70" s="58"/>
      <c r="F70" s="59"/>
      <c r="G70" s="59"/>
      <c r="H70" s="59"/>
      <c r="I70" s="59"/>
      <c r="J70" s="59"/>
      <c r="K70" s="59"/>
      <c r="L70" s="59"/>
      <c r="M70" s="59"/>
      <c r="N70" s="60"/>
    </row>
    <row r="71" spans="1:14" ht="33" customHeight="1" x14ac:dyDescent="0.25">
      <c r="A71" s="83">
        <v>33</v>
      </c>
      <c r="B71" s="39" t="str">
        <f>IF('0 AVAL'!B68 = "", "", '0 AVAL'!B68)</f>
        <v/>
      </c>
      <c r="C71" s="39" t="str">
        <f>IF('0 AVAL'!C68 = "", "", '0 AVAL'!C68)</f>
        <v/>
      </c>
      <c r="D71" s="39"/>
      <c r="E71" s="58"/>
      <c r="F71" s="59"/>
      <c r="G71" s="59"/>
      <c r="H71" s="59"/>
      <c r="I71" s="59"/>
      <c r="J71" s="59"/>
      <c r="K71" s="59"/>
      <c r="L71" s="59"/>
      <c r="M71" s="59"/>
      <c r="N71" s="60"/>
    </row>
    <row r="72" spans="1:14" ht="33" customHeight="1" x14ac:dyDescent="0.25">
      <c r="A72" s="83">
        <v>34</v>
      </c>
      <c r="B72" s="39" t="str">
        <f>IF('0 AVAL'!B69 = "", "", '0 AVAL'!B69)</f>
        <v/>
      </c>
      <c r="C72" s="39" t="str">
        <f>IF('0 AVAL'!C69 = "", "", '0 AVAL'!C69)</f>
        <v/>
      </c>
      <c r="D72" s="39"/>
      <c r="E72" s="58"/>
      <c r="F72" s="59"/>
      <c r="G72" s="59"/>
      <c r="H72" s="59"/>
      <c r="I72" s="59"/>
      <c r="J72" s="59"/>
      <c r="K72" s="59"/>
      <c r="L72" s="59"/>
      <c r="M72" s="59"/>
      <c r="N72" s="60"/>
    </row>
    <row r="73" spans="1:14" ht="33" customHeight="1" x14ac:dyDescent="0.25">
      <c r="A73" s="83">
        <v>35</v>
      </c>
      <c r="B73" s="39" t="str">
        <f>IF('0 AVAL'!B70 = "", "", '0 AVAL'!B70)</f>
        <v/>
      </c>
      <c r="C73" s="39" t="str">
        <f>IF('0 AVAL'!C70 = "", "", '0 AVAL'!C70)</f>
        <v/>
      </c>
      <c r="D73" s="39"/>
      <c r="E73" s="58"/>
      <c r="F73" s="59"/>
      <c r="G73" s="59"/>
      <c r="H73" s="59"/>
      <c r="I73" s="59"/>
      <c r="J73" s="59"/>
      <c r="K73" s="59"/>
      <c r="L73" s="59"/>
      <c r="M73" s="59"/>
      <c r="N73" s="60"/>
    </row>
    <row r="74" spans="1:14" ht="33" customHeight="1" x14ac:dyDescent="0.25">
      <c r="A74" s="83">
        <v>36</v>
      </c>
      <c r="B74" s="39" t="str">
        <f>IF('0 AVAL'!B71 = "", "", '0 AVAL'!B71)</f>
        <v/>
      </c>
      <c r="C74" s="39" t="str">
        <f>IF('0 AVAL'!C71 = "", "", '0 AVAL'!C71)</f>
        <v/>
      </c>
      <c r="D74" s="39"/>
      <c r="E74" s="221"/>
      <c r="F74" s="172"/>
      <c r="G74" s="172"/>
      <c r="H74" s="172"/>
      <c r="I74" s="172"/>
      <c r="J74" s="172"/>
      <c r="K74" s="172"/>
      <c r="L74" s="172"/>
      <c r="M74" s="172"/>
      <c r="N74" s="222"/>
    </row>
    <row r="75" spans="1:14" ht="33" customHeight="1" x14ac:dyDescent="0.25">
      <c r="A75" s="83">
        <v>37</v>
      </c>
      <c r="B75" s="39" t="str">
        <f>IF('0 AVAL'!B72 = "", "", '0 AVAL'!B72)</f>
        <v/>
      </c>
      <c r="C75" s="39" t="str">
        <f>IF('0 AVAL'!C72 = "", "", '0 AVAL'!C72)</f>
        <v/>
      </c>
      <c r="D75" s="39"/>
      <c r="E75" s="221"/>
      <c r="F75" s="172"/>
      <c r="G75" s="172"/>
      <c r="H75" s="172"/>
      <c r="I75" s="172"/>
      <c r="J75" s="172"/>
      <c r="K75" s="172"/>
      <c r="L75" s="172"/>
      <c r="M75" s="172"/>
      <c r="N75" s="222"/>
    </row>
    <row r="76" spans="1:14" ht="33" customHeight="1" x14ac:dyDescent="0.25">
      <c r="A76" s="83">
        <v>38</v>
      </c>
      <c r="B76" s="39" t="str">
        <f>IF('0 AVAL'!B73 = "", "", '0 AVAL'!B73)</f>
        <v/>
      </c>
      <c r="C76" s="39" t="str">
        <f>IF('0 AVAL'!C73 = "", "", '0 AVAL'!C73)</f>
        <v/>
      </c>
      <c r="D76" s="39"/>
      <c r="E76" s="221"/>
      <c r="F76" s="172"/>
      <c r="G76" s="172"/>
      <c r="H76" s="172"/>
      <c r="I76" s="172"/>
      <c r="J76" s="172"/>
      <c r="K76" s="172"/>
      <c r="L76" s="172"/>
      <c r="M76" s="172"/>
      <c r="N76" s="222"/>
    </row>
    <row r="77" spans="1:14" ht="33" customHeight="1" x14ac:dyDescent="0.25">
      <c r="A77" s="83">
        <v>39</v>
      </c>
      <c r="B77" s="39" t="str">
        <f>IF('0 AVAL'!B74 = "", "", '0 AVAL'!B74)</f>
        <v/>
      </c>
      <c r="C77" s="39" t="str">
        <f>IF('0 AVAL'!C74 = "", "", '0 AVAL'!C74)</f>
        <v/>
      </c>
      <c r="D77" s="39"/>
      <c r="E77" s="221"/>
      <c r="F77" s="172"/>
      <c r="G77" s="172"/>
      <c r="H77" s="172"/>
      <c r="I77" s="172"/>
      <c r="J77" s="172"/>
      <c r="K77" s="172"/>
      <c r="L77" s="172"/>
      <c r="M77" s="172"/>
      <c r="N77" s="222"/>
    </row>
    <row r="78" spans="1:14" ht="33" customHeight="1" x14ac:dyDescent="0.25">
      <c r="A78" s="83">
        <v>40</v>
      </c>
      <c r="B78" s="39" t="str">
        <f>IF('0 AVAL'!B75 = "", "", '0 AVAL'!B75)</f>
        <v/>
      </c>
      <c r="C78" s="39" t="str">
        <f>IF('0 AVAL'!C75 = "", "", '0 AVAL'!C75)</f>
        <v/>
      </c>
      <c r="D78" s="39"/>
      <c r="E78" s="221"/>
      <c r="F78" s="172"/>
      <c r="G78" s="172"/>
      <c r="H78" s="172"/>
      <c r="I78" s="172"/>
      <c r="J78" s="172"/>
      <c r="K78" s="172"/>
      <c r="L78" s="172"/>
      <c r="M78" s="172"/>
      <c r="N78" s="222"/>
    </row>
    <row r="79" spans="1:14" ht="27" customHeight="1" x14ac:dyDescent="0.25"/>
    <row r="80" spans="1:14" s="69" customFormat="1" ht="21" customHeight="1" x14ac:dyDescent="0.25">
      <c r="B80" s="239" t="s">
        <v>64</v>
      </c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70"/>
    </row>
    <row r="81" spans="1:14" x14ac:dyDescent="0.25">
      <c r="B81" s="2"/>
      <c r="C81" s="2"/>
      <c r="D81" s="2"/>
      <c r="E81" s="2"/>
      <c r="F81" s="2"/>
      <c r="G81" s="2"/>
      <c r="H81" s="2"/>
      <c r="I81" s="2"/>
      <c r="J81" s="61" t="s">
        <v>65</v>
      </c>
      <c r="K81" s="252" t="s">
        <v>66</v>
      </c>
      <c r="L81" s="250"/>
      <c r="M81" s="250"/>
      <c r="N81" s="250"/>
    </row>
    <row r="82" spans="1:14" x14ac:dyDescent="0.25">
      <c r="A82" s="84">
        <v>1</v>
      </c>
      <c r="B82" s="223"/>
      <c r="C82" s="172"/>
      <c r="D82" s="172"/>
      <c r="E82" s="172"/>
      <c r="F82" s="172"/>
      <c r="G82" s="172"/>
      <c r="H82" s="172"/>
      <c r="I82" s="172"/>
      <c r="J82" s="63"/>
      <c r="K82" s="226"/>
      <c r="L82" s="172"/>
      <c r="M82" s="172"/>
      <c r="N82" s="172"/>
    </row>
    <row r="83" spans="1:14" x14ac:dyDescent="0.25">
      <c r="A83" s="84">
        <v>2</v>
      </c>
      <c r="B83" s="224"/>
      <c r="C83" s="193"/>
      <c r="D83" s="193"/>
      <c r="E83" s="193"/>
      <c r="F83" s="193"/>
      <c r="G83" s="193"/>
      <c r="H83" s="193"/>
      <c r="I83" s="193"/>
      <c r="J83" s="63"/>
      <c r="K83" s="226"/>
      <c r="L83" s="172"/>
      <c r="M83" s="172"/>
      <c r="N83" s="172"/>
    </row>
    <row r="84" spans="1:14" x14ac:dyDescent="0.25">
      <c r="A84" s="84">
        <v>3</v>
      </c>
      <c r="B84" s="224"/>
      <c r="C84" s="193"/>
      <c r="D84" s="193"/>
      <c r="E84" s="193"/>
      <c r="F84" s="193"/>
      <c r="G84" s="193"/>
      <c r="H84" s="193"/>
      <c r="I84" s="193"/>
      <c r="J84" s="63"/>
      <c r="K84" s="226"/>
      <c r="L84" s="172"/>
      <c r="M84" s="172"/>
      <c r="N84" s="172"/>
    </row>
    <row r="85" spans="1:14" x14ac:dyDescent="0.25">
      <c r="A85" s="84">
        <v>4</v>
      </c>
      <c r="B85" s="224"/>
      <c r="C85" s="193"/>
      <c r="D85" s="193"/>
      <c r="E85" s="193"/>
      <c r="F85" s="193"/>
      <c r="G85" s="193"/>
      <c r="H85" s="193"/>
      <c r="I85" s="193"/>
      <c r="J85" s="63"/>
      <c r="K85" s="226"/>
      <c r="L85" s="172"/>
      <c r="M85" s="172"/>
      <c r="N85" s="172"/>
    </row>
    <row r="86" spans="1:14" x14ac:dyDescent="0.25">
      <c r="A86" s="84">
        <v>5</v>
      </c>
      <c r="B86" s="224"/>
      <c r="C86" s="193"/>
      <c r="D86" s="193"/>
      <c r="E86" s="193"/>
      <c r="F86" s="193"/>
      <c r="G86" s="193"/>
      <c r="H86" s="193"/>
      <c r="I86" s="193"/>
      <c r="J86" s="63"/>
      <c r="K86" s="226"/>
      <c r="L86" s="172"/>
      <c r="M86" s="172"/>
      <c r="N86" s="172"/>
    </row>
    <row r="87" spans="1:14" x14ac:dyDescent="0.25">
      <c r="A87" s="84">
        <v>6</v>
      </c>
      <c r="B87" s="224"/>
      <c r="C87" s="193"/>
      <c r="D87" s="193"/>
      <c r="E87" s="193"/>
      <c r="F87" s="193"/>
      <c r="G87" s="193"/>
      <c r="H87" s="193"/>
      <c r="I87" s="193"/>
      <c r="J87" s="63"/>
      <c r="K87" s="226"/>
      <c r="L87" s="172"/>
      <c r="M87" s="172"/>
      <c r="N87" s="172"/>
    </row>
    <row r="88" spans="1:14" ht="16.149999999999999" customHeight="1" thickBot="1" x14ac:dyDescent="0.3">
      <c r="A88" s="84">
        <v>7</v>
      </c>
      <c r="B88" s="228"/>
      <c r="C88" s="206"/>
      <c r="D88" s="206"/>
      <c r="E88" s="206"/>
      <c r="F88" s="206"/>
      <c r="G88" s="206"/>
      <c r="H88" s="206"/>
      <c r="I88" s="206"/>
      <c r="J88" s="64"/>
      <c r="K88" s="225"/>
      <c r="L88" s="196"/>
      <c r="M88" s="196"/>
      <c r="N88" s="196"/>
    </row>
    <row r="89" spans="1:14" ht="27" customHeight="1" x14ac:dyDescent="0.25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</row>
    <row r="90" spans="1:14" s="69" customFormat="1" ht="21" customHeight="1" x14ac:dyDescent="0.25">
      <c r="B90" s="239" t="s">
        <v>67</v>
      </c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70"/>
    </row>
    <row r="91" spans="1:14" x14ac:dyDescent="0.25"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</row>
    <row r="92" spans="1:14" s="65" customFormat="1" ht="30.75" customHeight="1" x14ac:dyDescent="0.25">
      <c r="A92" s="86">
        <v>1</v>
      </c>
      <c r="B92" s="219" t="str">
        <f>IF(ACORDS!E25 = "", "", ACORDS!E25)</f>
        <v/>
      </c>
      <c r="C92" s="172"/>
      <c r="D92" s="172"/>
      <c r="E92" s="172"/>
      <c r="F92" s="172"/>
      <c r="G92" s="172"/>
      <c r="H92" s="172"/>
      <c r="I92" s="172"/>
      <c r="J92" s="227" t="s">
        <v>52</v>
      </c>
      <c r="K92" s="200"/>
      <c r="L92" s="200"/>
      <c r="M92" s="200"/>
      <c r="N92" s="201"/>
    </row>
    <row r="93" spans="1:14" s="65" customFormat="1" ht="30.75" customHeight="1" x14ac:dyDescent="0.25">
      <c r="A93" s="86">
        <v>2</v>
      </c>
      <c r="B93" s="219" t="str">
        <f>IF(ACORDS!E26 = "", "", ACORDS!E26)</f>
        <v/>
      </c>
      <c r="C93" s="172"/>
      <c r="D93" s="172"/>
      <c r="E93" s="172"/>
      <c r="F93" s="172"/>
      <c r="G93" s="172"/>
      <c r="H93" s="172"/>
      <c r="I93" s="172"/>
      <c r="J93" s="202"/>
      <c r="K93" s="257"/>
      <c r="L93" s="257"/>
      <c r="M93" s="257"/>
      <c r="N93" s="204"/>
    </row>
    <row r="94" spans="1:14" s="65" customFormat="1" ht="30.75" customHeight="1" x14ac:dyDescent="0.25">
      <c r="A94" s="86">
        <v>3</v>
      </c>
      <c r="B94" s="219" t="str">
        <f>IF(ACORDS!E27 = "", "", ACORDS!E27)</f>
        <v/>
      </c>
      <c r="C94" s="172"/>
      <c r="D94" s="172"/>
      <c r="E94" s="172"/>
      <c r="F94" s="172"/>
      <c r="G94" s="172"/>
      <c r="H94" s="172"/>
      <c r="I94" s="172"/>
      <c r="J94" s="202"/>
      <c r="K94" s="257"/>
      <c r="L94" s="257"/>
      <c r="M94" s="257"/>
      <c r="N94" s="204"/>
    </row>
    <row r="95" spans="1:14" s="65" customFormat="1" ht="30.75" customHeight="1" x14ac:dyDescent="0.25">
      <c r="A95" s="86">
        <v>4</v>
      </c>
      <c r="B95" s="219" t="str">
        <f>IF(ACORDS!E28 = "", "", ACORDS!E28)</f>
        <v/>
      </c>
      <c r="C95" s="172"/>
      <c r="D95" s="172"/>
      <c r="E95" s="172"/>
      <c r="F95" s="172"/>
      <c r="G95" s="172"/>
      <c r="H95" s="172"/>
      <c r="I95" s="172"/>
      <c r="J95" s="202"/>
      <c r="K95" s="257"/>
      <c r="L95" s="257"/>
      <c r="M95" s="257"/>
      <c r="N95" s="204"/>
    </row>
    <row r="96" spans="1:14" s="65" customFormat="1" ht="30.75" customHeight="1" x14ac:dyDescent="0.25">
      <c r="A96" s="86">
        <v>5</v>
      </c>
      <c r="B96" s="219" t="str">
        <f>IF(ACORDS!E29 = "", "", ACORDS!E29)</f>
        <v/>
      </c>
      <c r="C96" s="172"/>
      <c r="D96" s="172"/>
      <c r="E96" s="172"/>
      <c r="F96" s="172"/>
      <c r="G96" s="172"/>
      <c r="H96" s="172"/>
      <c r="I96" s="172"/>
      <c r="J96" s="202"/>
      <c r="K96" s="257"/>
      <c r="L96" s="257"/>
      <c r="M96" s="257"/>
      <c r="N96" s="204"/>
    </row>
    <row r="97" spans="1:14" s="65" customFormat="1" ht="30.75" customHeight="1" x14ac:dyDescent="0.25">
      <c r="A97" s="86">
        <v>6</v>
      </c>
      <c r="B97" s="219" t="str">
        <f>IF(ACORDS!E30 = "", "", ACORDS!E30)</f>
        <v/>
      </c>
      <c r="C97" s="172"/>
      <c r="D97" s="172"/>
      <c r="E97" s="172"/>
      <c r="F97" s="172"/>
      <c r="G97" s="172"/>
      <c r="H97" s="172"/>
      <c r="I97" s="172"/>
      <c r="J97" s="202"/>
      <c r="K97" s="257"/>
      <c r="L97" s="257"/>
      <c r="M97" s="257"/>
      <c r="N97" s="204"/>
    </row>
    <row r="98" spans="1:14" s="65" customFormat="1" ht="30.75" customHeight="1" thickBot="1" x14ac:dyDescent="0.3">
      <c r="A98" s="86">
        <v>7</v>
      </c>
      <c r="B98" s="219" t="str">
        <f>IF(ACORDS!E31 = "", "", ACORDS!E31)</f>
        <v/>
      </c>
      <c r="C98" s="172"/>
      <c r="D98" s="172"/>
      <c r="E98" s="172"/>
      <c r="F98" s="172"/>
      <c r="G98" s="172"/>
      <c r="H98" s="172"/>
      <c r="I98" s="172"/>
      <c r="J98" s="205"/>
      <c r="K98" s="206"/>
      <c r="L98" s="206"/>
      <c r="M98" s="206"/>
      <c r="N98" s="207"/>
    </row>
    <row r="99" spans="1:14" x14ac:dyDescent="0.25">
      <c r="B99" s="232" t="s">
        <v>53</v>
      </c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 spans="1:14" x14ac:dyDescent="0.25"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</row>
  </sheetData>
  <mergeCells count="91">
    <mergeCell ref="J7:M7"/>
    <mergeCell ref="K88:N88"/>
    <mergeCell ref="G31:K32"/>
    <mergeCell ref="B96:I96"/>
    <mergeCell ref="B36:N36"/>
    <mergeCell ref="J92:N98"/>
    <mergeCell ref="E58:N58"/>
    <mergeCell ref="B98:I98"/>
    <mergeCell ref="E42:N42"/>
    <mergeCell ref="B88:I88"/>
    <mergeCell ref="K85:N85"/>
    <mergeCell ref="E38:N38"/>
    <mergeCell ref="B84:I84"/>
    <mergeCell ref="B87:I87"/>
    <mergeCell ref="B11:N11"/>
    <mergeCell ref="E63:N63"/>
    <mergeCell ref="D2:F6"/>
    <mergeCell ref="E57:N57"/>
    <mergeCell ref="G28:K29"/>
    <mergeCell ref="B31:C31"/>
    <mergeCell ref="J5:M5"/>
    <mergeCell ref="B2:C6"/>
    <mergeCell ref="E43:N43"/>
    <mergeCell ref="B29:C29"/>
    <mergeCell ref="B9:N9"/>
    <mergeCell ref="J4:M4"/>
    <mergeCell ref="B12:N12"/>
    <mergeCell ref="E44:N44"/>
    <mergeCell ref="C33:M34"/>
    <mergeCell ref="B14:N14"/>
    <mergeCell ref="G2:G6"/>
    <mergeCell ref="J6:M6"/>
    <mergeCell ref="B28:C28"/>
    <mergeCell ref="E51:N51"/>
    <mergeCell ref="B30:C30"/>
    <mergeCell ref="B20:N20"/>
    <mergeCell ref="E59:N59"/>
    <mergeCell ref="B26:C26"/>
    <mergeCell ref="E53:N53"/>
    <mergeCell ref="E50:N50"/>
    <mergeCell ref="B85:I85"/>
    <mergeCell ref="B83:I83"/>
    <mergeCell ref="E78:N78"/>
    <mergeCell ref="B82:I82"/>
    <mergeCell ref="B99:N100"/>
    <mergeCell ref="K81:N81"/>
    <mergeCell ref="B93:I93"/>
    <mergeCell ref="K83:N83"/>
    <mergeCell ref="B90:N90"/>
    <mergeCell ref="B95:I95"/>
    <mergeCell ref="B97:I97"/>
    <mergeCell ref="B92:I92"/>
    <mergeCell ref="K84:N84"/>
    <mergeCell ref="J2:N2"/>
    <mergeCell ref="E45:N45"/>
    <mergeCell ref="J3:M3"/>
    <mergeCell ref="K82:N82"/>
    <mergeCell ref="B15:N15"/>
    <mergeCell ref="B24:N24"/>
    <mergeCell ref="B80:N80"/>
    <mergeCell ref="E62:N62"/>
    <mergeCell ref="B18:N18"/>
    <mergeCell ref="B22:M22"/>
    <mergeCell ref="E65:N65"/>
    <mergeCell ref="E49:N49"/>
    <mergeCell ref="E76:N76"/>
    <mergeCell ref="E66:N66"/>
    <mergeCell ref="E75:N75"/>
    <mergeCell ref="E64:N64"/>
    <mergeCell ref="E67:N67"/>
    <mergeCell ref="E39:N39"/>
    <mergeCell ref="E48:N48"/>
    <mergeCell ref="E40:N40"/>
    <mergeCell ref="E74:N74"/>
    <mergeCell ref="E60:N60"/>
    <mergeCell ref="B17:N17"/>
    <mergeCell ref="B94:I94"/>
    <mergeCell ref="K86:N86"/>
    <mergeCell ref="B86:I86"/>
    <mergeCell ref="E47:N47"/>
    <mergeCell ref="K87:N87"/>
    <mergeCell ref="E56:N56"/>
    <mergeCell ref="E77:N77"/>
    <mergeCell ref="E46:N46"/>
    <mergeCell ref="E61:N61"/>
    <mergeCell ref="B27:C27"/>
    <mergeCell ref="E54:N54"/>
    <mergeCell ref="E41:N41"/>
    <mergeCell ref="E68:N68"/>
    <mergeCell ref="E55:N55"/>
    <mergeCell ref="E52:N52"/>
  </mergeCells>
  <conditionalFormatting sqref="J82:J88">
    <cfRule type="containsText" dxfId="27" priority="1" operator="containsText" text="No">
      <formula>NOT(ISERROR(SEARCH("No",J82)))</formula>
    </cfRule>
    <cfRule type="containsText" dxfId="26" priority="2" operator="containsText" text="Procés">
      <formula>NOT(ISERROR(SEARCH("Procés",J82)))</formula>
    </cfRule>
    <cfRule type="containsText" dxfId="25" priority="3" operator="containsText" text="Fet">
      <formula>NOT(ISERROR(SEARCH("Fet",J82)))</formula>
    </cfRule>
  </conditionalFormatting>
  <dataValidations count="2">
    <dataValidation allowBlank="1" showInputMessage="1" showErrorMessage="1" sqref="J6:M6" xr:uid="{00000000-0002-0000-0400-000000000000}"/>
    <dataValidation type="date" allowBlank="1" showInputMessage="1" showErrorMessage="1" sqref="J7:M7" xr:uid="{00000000-0002-0000-0400-000001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A63"/>
  <sheetViews>
    <sheetView workbookViewId="0">
      <selection activeCell="L3" sqref="L3:O3"/>
    </sheetView>
  </sheetViews>
  <sheetFormatPr baseColWidth="10" defaultColWidth="0" defaultRowHeight="15.75" zeroHeight="1" x14ac:dyDescent="0.25"/>
  <cols>
    <col min="1" max="1" width="4.7109375" style="1" customWidth="1"/>
    <col min="2" max="2" width="17.42578125" style="1" customWidth="1"/>
    <col min="3" max="3" width="41.5703125" style="1" customWidth="1"/>
    <col min="4" max="6" width="12.5703125" style="1" customWidth="1"/>
    <col min="7" max="7" width="21.7109375" style="1" customWidth="1"/>
    <col min="8" max="9" width="12.5703125" style="1" customWidth="1"/>
    <col min="10" max="10" width="11.140625" style="1" customWidth="1"/>
    <col min="11" max="11" width="18" style="1" customWidth="1"/>
    <col min="12" max="16" width="12.5703125" style="1" customWidth="1"/>
    <col min="17" max="17" width="9.140625" style="1" customWidth="1"/>
    <col min="18" max="18" width="4.28515625" style="1" customWidth="1"/>
    <col min="19" max="24" width="9.140625" style="1" hidden="1" customWidth="1"/>
    <col min="25" max="183" width="4.42578125" style="1" hidden="1" customWidth="1"/>
    <col min="184" max="16384" width="0" style="1" hidden="1"/>
  </cols>
  <sheetData>
    <row r="1" spans="1:17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6" t="s">
        <v>0</v>
      </c>
      <c r="K1" s="6"/>
      <c r="L1" s="6"/>
      <c r="M1" s="6"/>
      <c r="N1" s="7"/>
      <c r="O1" s="6"/>
    </row>
    <row r="2" spans="1:17" ht="15.75" customHeight="1" x14ac:dyDescent="0.25">
      <c r="A2" s="5"/>
      <c r="B2" s="208" t="e">
        <v>#VALUE!</v>
      </c>
      <c r="C2" s="209"/>
      <c r="D2" s="208" t="e">
        <v>#VALUE!</v>
      </c>
      <c r="E2" s="209"/>
      <c r="F2" s="209"/>
      <c r="G2" s="209"/>
      <c r="H2" s="208"/>
      <c r="I2" s="208"/>
    </row>
    <row r="3" spans="1:17" ht="15.75" customHeight="1" x14ac:dyDescent="0.25">
      <c r="A3" s="5"/>
      <c r="B3" s="209"/>
      <c r="C3" s="209"/>
      <c r="D3" s="209"/>
      <c r="E3" s="209"/>
      <c r="F3" s="209"/>
      <c r="G3" s="209"/>
      <c r="H3" s="209"/>
      <c r="I3" s="209"/>
      <c r="J3" s="261" t="s">
        <v>1</v>
      </c>
      <c r="K3" s="172"/>
      <c r="L3" s="182" t="str">
        <f>IF(ficha_alum!K3 = "", "", ficha_alum!K3)</f>
        <v/>
      </c>
      <c r="M3" s="172"/>
      <c r="N3" s="172"/>
      <c r="O3" s="172"/>
    </row>
    <row r="4" spans="1:17" ht="15.75" customHeight="1" x14ac:dyDescent="0.25">
      <c r="A4" s="5"/>
      <c r="B4" s="209"/>
      <c r="C4" s="209"/>
      <c r="D4" s="209"/>
      <c r="E4" s="209"/>
      <c r="F4" s="209"/>
      <c r="G4" s="209"/>
      <c r="H4" s="209"/>
      <c r="I4" s="209"/>
      <c r="J4" s="261" t="s">
        <v>2</v>
      </c>
      <c r="K4" s="172"/>
      <c r="L4" s="182" t="str">
        <f>IF(ficha_alum!K4 = "", "", ficha_alum!K4)</f>
        <v/>
      </c>
      <c r="M4" s="172"/>
      <c r="N4" s="172"/>
      <c r="O4" s="172"/>
    </row>
    <row r="5" spans="1:17" ht="15.75" customHeight="1" x14ac:dyDescent="0.25">
      <c r="A5" s="5"/>
      <c r="B5" s="209"/>
      <c r="C5" s="209"/>
      <c r="D5" s="209"/>
      <c r="E5" s="209"/>
      <c r="F5" s="209"/>
      <c r="G5" s="209"/>
      <c r="H5" s="209"/>
      <c r="I5" s="209"/>
      <c r="J5" s="258" t="s">
        <v>3</v>
      </c>
      <c r="K5" s="200"/>
      <c r="L5" s="182" t="str">
        <f>IF(ficha_alum!K5 = "", "", ficha_alum!K5)</f>
        <v/>
      </c>
      <c r="M5" s="172"/>
      <c r="N5" s="172"/>
      <c r="O5" s="172"/>
    </row>
    <row r="6" spans="1:17" ht="15.75" customHeight="1" thickBot="1" x14ac:dyDescent="0.3">
      <c r="A6" s="5"/>
      <c r="B6" s="209"/>
      <c r="C6" s="209"/>
      <c r="D6" s="209"/>
      <c r="E6" s="209"/>
      <c r="F6" s="209"/>
      <c r="G6" s="209"/>
      <c r="H6" s="209"/>
      <c r="I6" s="209"/>
      <c r="J6" s="269" t="s">
        <v>77</v>
      </c>
      <c r="K6" s="196"/>
      <c r="L6" s="237" t="s">
        <v>78</v>
      </c>
      <c r="M6" s="196"/>
      <c r="N6" s="196"/>
      <c r="O6" s="196"/>
    </row>
    <row r="7" spans="1:17" x14ac:dyDescent="0.25">
      <c r="A7" s="5"/>
      <c r="B7" s="5"/>
      <c r="C7" s="5"/>
      <c r="D7" s="8"/>
      <c r="E7" s="8"/>
      <c r="F7" s="8"/>
      <c r="G7" s="8"/>
      <c r="H7" s="8"/>
      <c r="I7" s="8"/>
      <c r="J7" s="270" t="s">
        <v>79</v>
      </c>
      <c r="K7" s="209"/>
      <c r="L7" s="220"/>
      <c r="M7" s="177"/>
      <c r="N7" s="177"/>
      <c r="O7" s="177"/>
    </row>
    <row r="8" spans="1:17" ht="27" customHeight="1" x14ac:dyDescent="0.25"/>
    <row r="9" spans="1:17" s="13" customFormat="1" ht="21" customHeight="1" x14ac:dyDescent="0.25">
      <c r="B9" s="239" t="s">
        <v>80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70"/>
    </row>
    <row r="10" spans="1:17" x14ac:dyDescent="0.25">
      <c r="F10" s="51"/>
    </row>
    <row r="11" spans="1:17" s="3" customFormat="1" ht="36.75" customHeight="1" x14ac:dyDescent="0.25">
      <c r="B11" s="87" t="s">
        <v>38</v>
      </c>
      <c r="C11" s="87" t="s">
        <v>39</v>
      </c>
      <c r="D11" s="87" t="s">
        <v>75</v>
      </c>
      <c r="E11" s="87" t="s">
        <v>81</v>
      </c>
      <c r="F11" s="87" t="s">
        <v>82</v>
      </c>
      <c r="G11" s="87" t="s">
        <v>83</v>
      </c>
      <c r="H11" s="268" t="s">
        <v>84</v>
      </c>
      <c r="I11" s="184"/>
      <c r="J11" s="88" t="s">
        <v>85</v>
      </c>
      <c r="K11" s="88" t="s">
        <v>86</v>
      </c>
      <c r="L11" s="87" t="s">
        <v>87</v>
      </c>
      <c r="M11" s="87" t="s">
        <v>88</v>
      </c>
      <c r="N11" s="87" t="s">
        <v>89</v>
      </c>
      <c r="O11" s="268" t="s">
        <v>66</v>
      </c>
      <c r="P11" s="184"/>
      <c r="Q11" s="184"/>
    </row>
    <row r="12" spans="1:17" ht="33" customHeight="1" x14ac:dyDescent="0.25">
      <c r="A12" s="3">
        <v>1</v>
      </c>
      <c r="B12" s="39" t="str">
        <f>IF('0 AVAL'!B36 = "", "", '0 AVAL'!B36)</f>
        <v/>
      </c>
      <c r="C12" s="39" t="str">
        <f>IF('0 AVAL'!C36 = "", "", '0 AVAL'!C36)</f>
        <v/>
      </c>
      <c r="D12" s="39"/>
      <c r="E12" s="89"/>
      <c r="F12" s="90" t="s">
        <v>90</v>
      </c>
      <c r="G12" s="90" t="s">
        <v>90</v>
      </c>
      <c r="H12" s="259"/>
      <c r="I12" s="260"/>
      <c r="J12" s="90" t="s">
        <v>90</v>
      </c>
      <c r="K12" s="91"/>
      <c r="L12" s="90"/>
      <c r="M12" s="90" t="s">
        <v>90</v>
      </c>
      <c r="N12" s="90" t="s">
        <v>90</v>
      </c>
      <c r="O12" s="259"/>
      <c r="P12" s="184"/>
      <c r="Q12" s="260"/>
    </row>
    <row r="13" spans="1:17" ht="33" customHeight="1" x14ac:dyDescent="0.25">
      <c r="A13" s="3">
        <v>2</v>
      </c>
      <c r="B13" s="39" t="str">
        <f>IF('0 AVAL'!B37 = "", "", '0 AVAL'!B37)</f>
        <v/>
      </c>
      <c r="C13" s="39" t="str">
        <f>IF('0 AVAL'!C37 = "", "", '0 AVAL'!C37)</f>
        <v/>
      </c>
      <c r="D13" s="39"/>
      <c r="E13" s="89"/>
      <c r="F13" s="90" t="s">
        <v>90</v>
      </c>
      <c r="G13" s="90" t="s">
        <v>90</v>
      </c>
      <c r="H13" s="259"/>
      <c r="I13" s="260"/>
      <c r="J13" s="90" t="s">
        <v>90</v>
      </c>
      <c r="K13" s="91"/>
      <c r="L13" s="90"/>
      <c r="M13" s="90" t="s">
        <v>90</v>
      </c>
      <c r="N13" s="90" t="s">
        <v>90</v>
      </c>
      <c r="O13" s="259"/>
      <c r="P13" s="184"/>
      <c r="Q13" s="260"/>
    </row>
    <row r="14" spans="1:17" ht="33" customHeight="1" x14ac:dyDescent="0.25">
      <c r="A14" s="3">
        <v>3</v>
      </c>
      <c r="B14" s="39" t="str">
        <f>IF('0 AVAL'!B38 = "", "", '0 AVAL'!B38)</f>
        <v/>
      </c>
      <c r="C14" s="39" t="str">
        <f>IF('0 AVAL'!C38 = "", "", '0 AVAL'!C38)</f>
        <v/>
      </c>
      <c r="D14" s="39"/>
      <c r="E14" s="89"/>
      <c r="F14" s="90" t="s">
        <v>90</v>
      </c>
      <c r="G14" s="90" t="s">
        <v>90</v>
      </c>
      <c r="H14" s="259"/>
      <c r="I14" s="260"/>
      <c r="J14" s="90" t="s">
        <v>90</v>
      </c>
      <c r="K14" s="91"/>
      <c r="L14" s="90"/>
      <c r="M14" s="90" t="s">
        <v>90</v>
      </c>
      <c r="N14" s="90" t="s">
        <v>90</v>
      </c>
      <c r="O14" s="259"/>
      <c r="P14" s="184"/>
      <c r="Q14" s="260"/>
    </row>
    <row r="15" spans="1:17" ht="33" customHeight="1" x14ac:dyDescent="0.25">
      <c r="A15" s="3">
        <v>4</v>
      </c>
      <c r="B15" s="39" t="str">
        <f>IF('0 AVAL'!B39 = "", "", '0 AVAL'!B39)</f>
        <v/>
      </c>
      <c r="C15" s="39" t="str">
        <f>IF('0 AVAL'!C39 = "", "", '0 AVAL'!C39)</f>
        <v/>
      </c>
      <c r="D15" s="39"/>
      <c r="E15" s="89"/>
      <c r="F15" s="90" t="s">
        <v>90</v>
      </c>
      <c r="G15" s="90" t="s">
        <v>90</v>
      </c>
      <c r="H15" s="259"/>
      <c r="I15" s="260"/>
      <c r="J15" s="90" t="s">
        <v>90</v>
      </c>
      <c r="K15" s="91"/>
      <c r="L15" s="90"/>
      <c r="M15" s="90" t="s">
        <v>90</v>
      </c>
      <c r="N15" s="90" t="s">
        <v>90</v>
      </c>
      <c r="O15" s="259"/>
      <c r="P15" s="184"/>
      <c r="Q15" s="260"/>
    </row>
    <row r="16" spans="1:17" ht="33" customHeight="1" x14ac:dyDescent="0.25">
      <c r="A16" s="3">
        <v>5</v>
      </c>
      <c r="B16" s="39" t="str">
        <f>IF('0 AVAL'!B40 = "", "", '0 AVAL'!B40)</f>
        <v/>
      </c>
      <c r="C16" s="39" t="str">
        <f>IF('0 AVAL'!C40 = "", "", '0 AVAL'!C40)</f>
        <v/>
      </c>
      <c r="D16" s="39"/>
      <c r="E16" s="89"/>
      <c r="F16" s="90" t="s">
        <v>90</v>
      </c>
      <c r="G16" s="90" t="s">
        <v>90</v>
      </c>
      <c r="H16" s="259"/>
      <c r="I16" s="260"/>
      <c r="J16" s="90" t="s">
        <v>90</v>
      </c>
      <c r="K16" s="91"/>
      <c r="L16" s="90"/>
      <c r="M16" s="90" t="s">
        <v>90</v>
      </c>
      <c r="N16" s="90" t="s">
        <v>90</v>
      </c>
      <c r="O16" s="259"/>
      <c r="P16" s="184"/>
      <c r="Q16" s="260"/>
    </row>
    <row r="17" spans="1:17" ht="33" customHeight="1" x14ac:dyDescent="0.25">
      <c r="A17" s="3">
        <v>6</v>
      </c>
      <c r="B17" s="39" t="str">
        <f>IF('0 AVAL'!B41 = "", "", '0 AVAL'!B41)</f>
        <v/>
      </c>
      <c r="C17" s="39" t="str">
        <f>IF('0 AVAL'!C41 = "", "", '0 AVAL'!C41)</f>
        <v/>
      </c>
      <c r="D17" s="39"/>
      <c r="E17" s="89"/>
      <c r="F17" s="90" t="s">
        <v>90</v>
      </c>
      <c r="G17" s="90" t="s">
        <v>90</v>
      </c>
      <c r="H17" s="259"/>
      <c r="I17" s="260"/>
      <c r="J17" s="90" t="s">
        <v>90</v>
      </c>
      <c r="K17" s="91"/>
      <c r="L17" s="90"/>
      <c r="M17" s="90" t="s">
        <v>90</v>
      </c>
      <c r="N17" s="90" t="s">
        <v>90</v>
      </c>
      <c r="O17" s="259"/>
      <c r="P17" s="184"/>
      <c r="Q17" s="260"/>
    </row>
    <row r="18" spans="1:17" ht="33" customHeight="1" x14ac:dyDescent="0.25">
      <c r="A18" s="3">
        <v>7</v>
      </c>
      <c r="B18" s="39" t="str">
        <f>IF('0 AVAL'!B42 = "", "", '0 AVAL'!B42)</f>
        <v/>
      </c>
      <c r="C18" s="39" t="str">
        <f>IF('0 AVAL'!C42 = "", "", '0 AVAL'!C42)</f>
        <v/>
      </c>
      <c r="D18" s="39"/>
      <c r="E18" s="89"/>
      <c r="F18" s="90" t="s">
        <v>90</v>
      </c>
      <c r="G18" s="90" t="s">
        <v>90</v>
      </c>
      <c r="H18" s="259"/>
      <c r="I18" s="260"/>
      <c r="J18" s="90" t="s">
        <v>90</v>
      </c>
      <c r="K18" s="91"/>
      <c r="L18" s="90"/>
      <c r="M18" s="90" t="s">
        <v>90</v>
      </c>
      <c r="N18" s="90" t="s">
        <v>90</v>
      </c>
      <c r="O18" s="259"/>
      <c r="P18" s="184"/>
      <c r="Q18" s="260"/>
    </row>
    <row r="19" spans="1:17" ht="33" customHeight="1" x14ac:dyDescent="0.25">
      <c r="A19" s="3">
        <v>8</v>
      </c>
      <c r="B19" s="39" t="str">
        <f>IF('0 AVAL'!B43 = "", "", '0 AVAL'!B43)</f>
        <v/>
      </c>
      <c r="C19" s="39" t="str">
        <f>IF('0 AVAL'!C43 = "", "", '0 AVAL'!C43)</f>
        <v/>
      </c>
      <c r="D19" s="39"/>
      <c r="E19" s="89"/>
      <c r="F19" s="90" t="s">
        <v>90</v>
      </c>
      <c r="G19" s="90" t="s">
        <v>90</v>
      </c>
      <c r="H19" s="259"/>
      <c r="I19" s="260"/>
      <c r="J19" s="90" t="s">
        <v>90</v>
      </c>
      <c r="K19" s="91"/>
      <c r="L19" s="90"/>
      <c r="M19" s="90" t="s">
        <v>90</v>
      </c>
      <c r="N19" s="90" t="s">
        <v>90</v>
      </c>
      <c r="O19" s="259"/>
      <c r="P19" s="184"/>
      <c r="Q19" s="260"/>
    </row>
    <row r="20" spans="1:17" ht="33" customHeight="1" x14ac:dyDescent="0.25">
      <c r="A20" s="3">
        <v>9</v>
      </c>
      <c r="B20" s="39" t="str">
        <f>IF('0 AVAL'!B44 = "", "", '0 AVAL'!B44)</f>
        <v/>
      </c>
      <c r="C20" s="39" t="str">
        <f>IF('0 AVAL'!C44 = "", "", '0 AVAL'!C44)</f>
        <v/>
      </c>
      <c r="D20" s="39"/>
      <c r="E20" s="89"/>
      <c r="F20" s="90" t="s">
        <v>90</v>
      </c>
      <c r="G20" s="90" t="s">
        <v>90</v>
      </c>
      <c r="H20" s="259"/>
      <c r="I20" s="260"/>
      <c r="J20" s="90" t="s">
        <v>90</v>
      </c>
      <c r="K20" s="91"/>
      <c r="L20" s="90"/>
      <c r="M20" s="90" t="s">
        <v>90</v>
      </c>
      <c r="N20" s="90" t="s">
        <v>90</v>
      </c>
      <c r="O20" s="259"/>
      <c r="P20" s="184"/>
      <c r="Q20" s="260"/>
    </row>
    <row r="21" spans="1:17" ht="33" customHeight="1" x14ac:dyDescent="0.25">
      <c r="A21" s="3">
        <v>10</v>
      </c>
      <c r="B21" s="39" t="str">
        <f>IF('0 AVAL'!B45 = "", "", '0 AVAL'!B45)</f>
        <v/>
      </c>
      <c r="C21" s="39" t="str">
        <f>IF('0 AVAL'!C45 = "", "", '0 AVAL'!C45)</f>
        <v/>
      </c>
      <c r="D21" s="39"/>
      <c r="E21" s="89"/>
      <c r="F21" s="90" t="s">
        <v>90</v>
      </c>
      <c r="G21" s="90" t="s">
        <v>90</v>
      </c>
      <c r="H21" s="259"/>
      <c r="I21" s="260"/>
      <c r="J21" s="90" t="s">
        <v>90</v>
      </c>
      <c r="K21" s="91"/>
      <c r="L21" s="90"/>
      <c r="M21" s="90" t="s">
        <v>90</v>
      </c>
      <c r="N21" s="90" t="s">
        <v>90</v>
      </c>
      <c r="O21" s="259"/>
      <c r="P21" s="184"/>
      <c r="Q21" s="260"/>
    </row>
    <row r="22" spans="1:17" ht="33" customHeight="1" x14ac:dyDescent="0.25">
      <c r="A22" s="3">
        <v>11</v>
      </c>
      <c r="B22" s="39" t="str">
        <f>IF('0 AVAL'!B46 = "", "", '0 AVAL'!B46)</f>
        <v/>
      </c>
      <c r="C22" s="39" t="str">
        <f>IF('0 AVAL'!C46 = "", "", '0 AVAL'!C46)</f>
        <v/>
      </c>
      <c r="D22" s="39"/>
      <c r="E22" s="89"/>
      <c r="F22" s="90" t="s">
        <v>90</v>
      </c>
      <c r="G22" s="90" t="s">
        <v>90</v>
      </c>
      <c r="H22" s="259"/>
      <c r="I22" s="260"/>
      <c r="J22" s="90" t="s">
        <v>90</v>
      </c>
      <c r="K22" s="91"/>
      <c r="L22" s="90"/>
      <c r="M22" s="90" t="s">
        <v>90</v>
      </c>
      <c r="N22" s="90" t="s">
        <v>90</v>
      </c>
      <c r="O22" s="259"/>
      <c r="P22" s="184"/>
      <c r="Q22" s="260"/>
    </row>
    <row r="23" spans="1:17" ht="33" customHeight="1" x14ac:dyDescent="0.25">
      <c r="A23" s="3">
        <v>12</v>
      </c>
      <c r="B23" s="39" t="str">
        <f>IF('0 AVAL'!B47 = "", "", '0 AVAL'!B47)</f>
        <v/>
      </c>
      <c r="C23" s="39" t="str">
        <f>IF('0 AVAL'!C47 = "", "", '0 AVAL'!C47)</f>
        <v/>
      </c>
      <c r="D23" s="39"/>
      <c r="E23" s="89"/>
      <c r="F23" s="90" t="s">
        <v>90</v>
      </c>
      <c r="G23" s="90" t="s">
        <v>90</v>
      </c>
      <c r="H23" s="259"/>
      <c r="I23" s="260"/>
      <c r="J23" s="90" t="s">
        <v>90</v>
      </c>
      <c r="K23" s="91"/>
      <c r="L23" s="90"/>
      <c r="M23" s="90" t="s">
        <v>90</v>
      </c>
      <c r="N23" s="90" t="s">
        <v>90</v>
      </c>
      <c r="O23" s="259"/>
      <c r="P23" s="184"/>
      <c r="Q23" s="260"/>
    </row>
    <row r="24" spans="1:17" ht="33" customHeight="1" x14ac:dyDescent="0.25">
      <c r="A24" s="3">
        <v>13</v>
      </c>
      <c r="B24" s="39" t="str">
        <f>IF('0 AVAL'!B48 = "", "", '0 AVAL'!B48)</f>
        <v/>
      </c>
      <c r="C24" s="39" t="str">
        <f>IF('0 AVAL'!C48 = "", "", '0 AVAL'!C48)</f>
        <v/>
      </c>
      <c r="D24" s="39"/>
      <c r="E24" s="89"/>
      <c r="F24" s="90" t="s">
        <v>90</v>
      </c>
      <c r="G24" s="90" t="s">
        <v>90</v>
      </c>
      <c r="H24" s="259"/>
      <c r="I24" s="260"/>
      <c r="J24" s="90" t="s">
        <v>90</v>
      </c>
      <c r="K24" s="91"/>
      <c r="L24" s="90"/>
      <c r="M24" s="90" t="s">
        <v>90</v>
      </c>
      <c r="N24" s="90" t="s">
        <v>90</v>
      </c>
      <c r="O24" s="259"/>
      <c r="P24" s="184"/>
      <c r="Q24" s="260"/>
    </row>
    <row r="25" spans="1:17" ht="33" customHeight="1" x14ac:dyDescent="0.25">
      <c r="A25" s="3">
        <v>14</v>
      </c>
      <c r="B25" s="39" t="str">
        <f>IF('0 AVAL'!B49 = "", "", '0 AVAL'!B49)</f>
        <v/>
      </c>
      <c r="C25" s="39" t="str">
        <f>IF('0 AVAL'!C49 = "", "", '0 AVAL'!C49)</f>
        <v/>
      </c>
      <c r="D25" s="39"/>
      <c r="E25" s="89"/>
      <c r="F25" s="90" t="s">
        <v>90</v>
      </c>
      <c r="G25" s="90" t="s">
        <v>90</v>
      </c>
      <c r="H25" s="259"/>
      <c r="I25" s="260"/>
      <c r="J25" s="90" t="s">
        <v>90</v>
      </c>
      <c r="K25" s="91"/>
      <c r="L25" s="90"/>
      <c r="M25" s="90" t="s">
        <v>90</v>
      </c>
      <c r="N25" s="90" t="s">
        <v>90</v>
      </c>
      <c r="O25" s="259"/>
      <c r="P25" s="184"/>
      <c r="Q25" s="260"/>
    </row>
    <row r="26" spans="1:17" ht="33" customHeight="1" x14ac:dyDescent="0.25">
      <c r="A26" s="3">
        <v>15</v>
      </c>
      <c r="B26" s="39" t="str">
        <f>IF('0 AVAL'!B50 = "", "", '0 AVAL'!B50)</f>
        <v/>
      </c>
      <c r="C26" s="39" t="str">
        <f>IF('0 AVAL'!C50 = "", "", '0 AVAL'!C50)</f>
        <v/>
      </c>
      <c r="D26" s="39"/>
      <c r="E26" s="89"/>
      <c r="F26" s="90" t="s">
        <v>90</v>
      </c>
      <c r="G26" s="90" t="s">
        <v>90</v>
      </c>
      <c r="H26" s="259"/>
      <c r="I26" s="260"/>
      <c r="J26" s="90" t="s">
        <v>90</v>
      </c>
      <c r="K26" s="91"/>
      <c r="L26" s="90"/>
      <c r="M26" s="90" t="s">
        <v>90</v>
      </c>
      <c r="N26" s="90" t="s">
        <v>90</v>
      </c>
      <c r="O26" s="259"/>
      <c r="P26" s="184"/>
      <c r="Q26" s="260"/>
    </row>
    <row r="27" spans="1:17" ht="33" customHeight="1" x14ac:dyDescent="0.25">
      <c r="A27" s="3">
        <v>16</v>
      </c>
      <c r="B27" s="39" t="str">
        <f>IF('0 AVAL'!B51 = "", "", '0 AVAL'!B51)</f>
        <v/>
      </c>
      <c r="C27" s="39" t="str">
        <f>IF('0 AVAL'!C51 = "", "", '0 AVAL'!C51)</f>
        <v/>
      </c>
      <c r="D27" s="39"/>
      <c r="E27" s="89"/>
      <c r="F27" s="90" t="s">
        <v>90</v>
      </c>
      <c r="G27" s="90" t="s">
        <v>90</v>
      </c>
      <c r="H27" s="259"/>
      <c r="I27" s="260"/>
      <c r="J27" s="90" t="s">
        <v>90</v>
      </c>
      <c r="K27" s="91"/>
      <c r="L27" s="90"/>
      <c r="M27" s="90" t="s">
        <v>90</v>
      </c>
      <c r="N27" s="90" t="s">
        <v>90</v>
      </c>
      <c r="O27" s="259"/>
      <c r="P27" s="184"/>
      <c r="Q27" s="260"/>
    </row>
    <row r="28" spans="1:17" ht="33" customHeight="1" x14ac:dyDescent="0.25">
      <c r="A28" s="3">
        <v>17</v>
      </c>
      <c r="B28" s="39" t="str">
        <f>IF('0 AVAL'!B52 = "", "", '0 AVAL'!B52)</f>
        <v/>
      </c>
      <c r="C28" s="39" t="str">
        <f>IF('0 AVAL'!C52 = "", "", '0 AVAL'!C52)</f>
        <v/>
      </c>
      <c r="D28" s="39"/>
      <c r="E28" s="89"/>
      <c r="F28" s="90" t="s">
        <v>90</v>
      </c>
      <c r="G28" s="90" t="s">
        <v>90</v>
      </c>
      <c r="H28" s="259"/>
      <c r="I28" s="260"/>
      <c r="J28" s="90" t="s">
        <v>90</v>
      </c>
      <c r="K28" s="91"/>
      <c r="L28" s="90"/>
      <c r="M28" s="90" t="s">
        <v>90</v>
      </c>
      <c r="N28" s="90" t="s">
        <v>90</v>
      </c>
      <c r="O28" s="259"/>
      <c r="P28" s="184"/>
      <c r="Q28" s="260"/>
    </row>
    <row r="29" spans="1:17" ht="33" customHeight="1" x14ac:dyDescent="0.25">
      <c r="A29" s="3">
        <v>18</v>
      </c>
      <c r="B29" s="39" t="str">
        <f>IF('0 AVAL'!B53 = "", "", '0 AVAL'!B53)</f>
        <v/>
      </c>
      <c r="C29" s="39" t="str">
        <f>IF('0 AVAL'!C53 = "", "", '0 AVAL'!C53)</f>
        <v/>
      </c>
      <c r="D29" s="39"/>
      <c r="E29" s="89"/>
      <c r="F29" s="90" t="s">
        <v>90</v>
      </c>
      <c r="G29" s="90" t="s">
        <v>90</v>
      </c>
      <c r="H29" s="259"/>
      <c r="I29" s="260"/>
      <c r="J29" s="90" t="s">
        <v>90</v>
      </c>
      <c r="K29" s="91"/>
      <c r="L29" s="90"/>
      <c r="M29" s="90" t="s">
        <v>90</v>
      </c>
      <c r="N29" s="90" t="s">
        <v>90</v>
      </c>
      <c r="O29" s="259"/>
      <c r="P29" s="184"/>
      <c r="Q29" s="260"/>
    </row>
    <row r="30" spans="1:17" ht="33" customHeight="1" x14ac:dyDescent="0.25">
      <c r="A30" s="3">
        <v>19</v>
      </c>
      <c r="B30" s="39" t="str">
        <f>IF('0 AVAL'!B54 = "", "", '0 AVAL'!B54)</f>
        <v/>
      </c>
      <c r="C30" s="39" t="str">
        <f>IF('0 AVAL'!C54 = "", "", '0 AVAL'!C54)</f>
        <v/>
      </c>
      <c r="D30" s="39"/>
      <c r="E30" s="89"/>
      <c r="F30" s="90" t="s">
        <v>90</v>
      </c>
      <c r="G30" s="90" t="s">
        <v>90</v>
      </c>
      <c r="H30" s="259"/>
      <c r="I30" s="260"/>
      <c r="J30" s="90" t="s">
        <v>90</v>
      </c>
      <c r="K30" s="91"/>
      <c r="L30" s="90"/>
      <c r="M30" s="90" t="s">
        <v>90</v>
      </c>
      <c r="N30" s="90" t="s">
        <v>90</v>
      </c>
      <c r="O30" s="259"/>
      <c r="P30" s="184"/>
      <c r="Q30" s="260"/>
    </row>
    <row r="31" spans="1:17" ht="33" customHeight="1" x14ac:dyDescent="0.25">
      <c r="A31" s="3">
        <v>20</v>
      </c>
      <c r="B31" s="39" t="str">
        <f>IF('0 AVAL'!B55 = "", "", '0 AVAL'!B55)</f>
        <v/>
      </c>
      <c r="C31" s="39" t="str">
        <f>IF('0 AVAL'!C55 = "", "", '0 AVAL'!C55)</f>
        <v/>
      </c>
      <c r="D31" s="39"/>
      <c r="E31" s="89"/>
      <c r="F31" s="90" t="s">
        <v>90</v>
      </c>
      <c r="G31" s="90" t="s">
        <v>90</v>
      </c>
      <c r="H31" s="259"/>
      <c r="I31" s="260"/>
      <c r="J31" s="90" t="s">
        <v>90</v>
      </c>
      <c r="K31" s="91"/>
      <c r="L31" s="90"/>
      <c r="M31" s="90" t="s">
        <v>90</v>
      </c>
      <c r="N31" s="90" t="s">
        <v>90</v>
      </c>
      <c r="O31" s="259"/>
      <c r="P31" s="184"/>
      <c r="Q31" s="260"/>
    </row>
    <row r="32" spans="1:17" ht="33" customHeight="1" x14ac:dyDescent="0.25">
      <c r="A32" s="3">
        <v>21</v>
      </c>
      <c r="B32" s="39" t="str">
        <f>IF('0 AVAL'!B56 = "", "", '0 AVAL'!B56)</f>
        <v/>
      </c>
      <c r="C32" s="39" t="str">
        <f>IF('0 AVAL'!C56 = "", "", '0 AVAL'!C56)</f>
        <v/>
      </c>
      <c r="D32" s="39"/>
      <c r="E32" s="89"/>
      <c r="F32" s="90" t="s">
        <v>90</v>
      </c>
      <c r="G32" s="90" t="s">
        <v>90</v>
      </c>
      <c r="H32" s="259"/>
      <c r="I32" s="260"/>
      <c r="J32" s="90" t="s">
        <v>90</v>
      </c>
      <c r="K32" s="91"/>
      <c r="L32" s="90"/>
      <c r="M32" s="90" t="s">
        <v>90</v>
      </c>
      <c r="N32" s="90" t="s">
        <v>90</v>
      </c>
      <c r="O32" s="259"/>
      <c r="P32" s="184"/>
      <c r="Q32" s="260"/>
    </row>
    <row r="33" spans="1:17" ht="33" customHeight="1" x14ac:dyDescent="0.25">
      <c r="A33" s="3">
        <v>22</v>
      </c>
      <c r="B33" s="39" t="str">
        <f>IF('0 AVAL'!B57 = "", "", '0 AVAL'!B57)</f>
        <v/>
      </c>
      <c r="C33" s="39" t="str">
        <f>IF('0 AVAL'!C57 = "", "", '0 AVAL'!C57)</f>
        <v/>
      </c>
      <c r="D33" s="39"/>
      <c r="E33" s="89"/>
      <c r="F33" s="90" t="s">
        <v>90</v>
      </c>
      <c r="G33" s="90" t="s">
        <v>90</v>
      </c>
      <c r="H33" s="259"/>
      <c r="I33" s="260"/>
      <c r="J33" s="90" t="s">
        <v>90</v>
      </c>
      <c r="K33" s="91"/>
      <c r="L33" s="90"/>
      <c r="M33" s="90" t="s">
        <v>90</v>
      </c>
      <c r="N33" s="90" t="s">
        <v>90</v>
      </c>
      <c r="O33" s="259"/>
      <c r="P33" s="184"/>
      <c r="Q33" s="260"/>
    </row>
    <row r="34" spans="1:17" ht="33" customHeight="1" x14ac:dyDescent="0.25">
      <c r="A34" s="3">
        <v>23</v>
      </c>
      <c r="B34" s="39" t="str">
        <f>IF('0 AVAL'!B58 = "", "", '0 AVAL'!B58)</f>
        <v/>
      </c>
      <c r="C34" s="39" t="str">
        <f>IF('0 AVAL'!C58 = "", "", '0 AVAL'!C58)</f>
        <v/>
      </c>
      <c r="D34" s="39"/>
      <c r="E34" s="89"/>
      <c r="F34" s="90" t="s">
        <v>90</v>
      </c>
      <c r="G34" s="90" t="s">
        <v>90</v>
      </c>
      <c r="H34" s="259"/>
      <c r="I34" s="260"/>
      <c r="J34" s="90" t="s">
        <v>90</v>
      </c>
      <c r="K34" s="91"/>
      <c r="L34" s="90"/>
      <c r="M34" s="90" t="s">
        <v>90</v>
      </c>
      <c r="N34" s="90" t="s">
        <v>90</v>
      </c>
      <c r="O34" s="259"/>
      <c r="P34" s="184"/>
      <c r="Q34" s="260"/>
    </row>
    <row r="35" spans="1:17" ht="33" customHeight="1" x14ac:dyDescent="0.25">
      <c r="A35" s="3">
        <v>24</v>
      </c>
      <c r="B35" s="39" t="str">
        <f>IF('0 AVAL'!B59 = "", "", '0 AVAL'!B59)</f>
        <v/>
      </c>
      <c r="C35" s="39" t="str">
        <f>IF('0 AVAL'!C59 = "", "", '0 AVAL'!C59)</f>
        <v/>
      </c>
      <c r="D35" s="39"/>
      <c r="E35" s="89"/>
      <c r="F35" s="90" t="s">
        <v>90</v>
      </c>
      <c r="G35" s="90" t="s">
        <v>90</v>
      </c>
      <c r="H35" s="259"/>
      <c r="I35" s="260"/>
      <c r="J35" s="90" t="s">
        <v>90</v>
      </c>
      <c r="K35" s="91"/>
      <c r="L35" s="90"/>
      <c r="M35" s="90" t="s">
        <v>90</v>
      </c>
      <c r="N35" s="90" t="s">
        <v>90</v>
      </c>
      <c r="O35" s="259"/>
      <c r="P35" s="184"/>
      <c r="Q35" s="260"/>
    </row>
    <row r="36" spans="1:17" ht="33" customHeight="1" x14ac:dyDescent="0.25">
      <c r="A36" s="3">
        <v>25</v>
      </c>
      <c r="B36" s="39" t="str">
        <f>IF('0 AVAL'!B60 = "", "", '0 AVAL'!B60)</f>
        <v/>
      </c>
      <c r="C36" s="39" t="str">
        <f>IF('0 AVAL'!C60 = "", "", '0 AVAL'!C60)</f>
        <v/>
      </c>
      <c r="D36" s="39"/>
      <c r="E36" s="89"/>
      <c r="F36" s="90" t="s">
        <v>90</v>
      </c>
      <c r="G36" s="90" t="s">
        <v>90</v>
      </c>
      <c r="H36" s="259"/>
      <c r="I36" s="260"/>
      <c r="J36" s="90" t="s">
        <v>90</v>
      </c>
      <c r="K36" s="91"/>
      <c r="L36" s="90"/>
      <c r="M36" s="90" t="s">
        <v>90</v>
      </c>
      <c r="N36" s="90" t="s">
        <v>90</v>
      </c>
      <c r="O36" s="259"/>
      <c r="P36" s="184"/>
      <c r="Q36" s="260"/>
    </row>
    <row r="37" spans="1:17" ht="33" customHeight="1" x14ac:dyDescent="0.25">
      <c r="A37" s="3">
        <v>26</v>
      </c>
      <c r="B37" s="39" t="str">
        <f>IF('0 AVAL'!B61 = "", "", '0 AVAL'!B61)</f>
        <v/>
      </c>
      <c r="C37" s="39" t="str">
        <f>IF('0 AVAL'!C61 = "", "", '0 AVAL'!C61)</f>
        <v/>
      </c>
      <c r="D37" s="39"/>
      <c r="E37" s="89"/>
      <c r="F37" s="90" t="s">
        <v>90</v>
      </c>
      <c r="G37" s="90" t="s">
        <v>90</v>
      </c>
      <c r="H37" s="259"/>
      <c r="I37" s="260"/>
      <c r="J37" s="90" t="s">
        <v>90</v>
      </c>
      <c r="K37" s="91"/>
      <c r="L37" s="90"/>
      <c r="M37" s="90" t="s">
        <v>90</v>
      </c>
      <c r="N37" s="90" t="s">
        <v>90</v>
      </c>
      <c r="O37" s="259"/>
      <c r="P37" s="184"/>
      <c r="Q37" s="260"/>
    </row>
    <row r="38" spans="1:17" ht="33" customHeight="1" x14ac:dyDescent="0.25">
      <c r="A38" s="3">
        <v>27</v>
      </c>
      <c r="B38" s="39" t="str">
        <f>IF('0 AVAL'!B62 = "", "", '0 AVAL'!B62)</f>
        <v/>
      </c>
      <c r="C38" s="39" t="str">
        <f>IF('0 AVAL'!C62 = "", "", '0 AVAL'!C62)</f>
        <v/>
      </c>
      <c r="D38" s="39"/>
      <c r="E38" s="89"/>
      <c r="F38" s="90" t="s">
        <v>90</v>
      </c>
      <c r="G38" s="90" t="s">
        <v>90</v>
      </c>
      <c r="H38" s="259"/>
      <c r="I38" s="260"/>
      <c r="J38" s="90" t="s">
        <v>90</v>
      </c>
      <c r="K38" s="91"/>
      <c r="L38" s="90"/>
      <c r="M38" s="90" t="s">
        <v>90</v>
      </c>
      <c r="N38" s="90" t="s">
        <v>90</v>
      </c>
      <c r="O38" s="259"/>
      <c r="P38" s="184"/>
      <c r="Q38" s="260"/>
    </row>
    <row r="39" spans="1:17" ht="33" customHeight="1" x14ac:dyDescent="0.25">
      <c r="A39" s="3">
        <v>28</v>
      </c>
      <c r="B39" s="39" t="str">
        <f>IF('0 AVAL'!B63 = "", "", '0 AVAL'!B63)</f>
        <v/>
      </c>
      <c r="C39" s="39" t="str">
        <f>IF('0 AVAL'!C63 = "", "", '0 AVAL'!C63)</f>
        <v/>
      </c>
      <c r="D39" s="39"/>
      <c r="E39" s="89"/>
      <c r="F39" s="90" t="s">
        <v>90</v>
      </c>
      <c r="G39" s="90" t="s">
        <v>90</v>
      </c>
      <c r="H39" s="259"/>
      <c r="I39" s="260"/>
      <c r="J39" s="90" t="s">
        <v>90</v>
      </c>
      <c r="K39" s="91"/>
      <c r="L39" s="90"/>
      <c r="M39" s="90" t="s">
        <v>90</v>
      </c>
      <c r="N39" s="90" t="s">
        <v>90</v>
      </c>
      <c r="O39" s="259"/>
      <c r="P39" s="184"/>
      <c r="Q39" s="260"/>
    </row>
    <row r="40" spans="1:17" ht="33" customHeight="1" x14ac:dyDescent="0.25">
      <c r="A40" s="3">
        <v>29</v>
      </c>
      <c r="B40" s="39" t="str">
        <f>IF('0 AVAL'!B64 = "", "", '0 AVAL'!B64)</f>
        <v/>
      </c>
      <c r="C40" s="39" t="str">
        <f>IF('0 AVAL'!C64 = "", "", '0 AVAL'!C64)</f>
        <v/>
      </c>
      <c r="D40" s="39"/>
      <c r="E40" s="89"/>
      <c r="F40" s="90" t="s">
        <v>90</v>
      </c>
      <c r="G40" s="90" t="s">
        <v>90</v>
      </c>
      <c r="H40" s="259"/>
      <c r="I40" s="260"/>
      <c r="J40" s="90" t="s">
        <v>90</v>
      </c>
      <c r="K40" s="91"/>
      <c r="L40" s="90"/>
      <c r="M40" s="90" t="s">
        <v>90</v>
      </c>
      <c r="N40" s="90" t="s">
        <v>90</v>
      </c>
      <c r="O40" s="259"/>
      <c r="P40" s="184"/>
      <c r="Q40" s="260"/>
    </row>
    <row r="41" spans="1:17" ht="33" customHeight="1" x14ac:dyDescent="0.25">
      <c r="A41" s="3">
        <v>30</v>
      </c>
      <c r="B41" s="39" t="str">
        <f>IF('0 AVAL'!B65 = "", "", '0 AVAL'!B65)</f>
        <v/>
      </c>
      <c r="C41" s="39" t="str">
        <f>IF('0 AVAL'!C65 = "", "", '0 AVAL'!C65)</f>
        <v/>
      </c>
      <c r="D41" s="39"/>
      <c r="E41" s="89"/>
      <c r="F41" s="90" t="s">
        <v>90</v>
      </c>
      <c r="G41" s="90" t="s">
        <v>90</v>
      </c>
      <c r="H41" s="259"/>
      <c r="I41" s="260"/>
      <c r="J41" s="90" t="s">
        <v>90</v>
      </c>
      <c r="K41" s="91"/>
      <c r="L41" s="90"/>
      <c r="M41" s="90" t="s">
        <v>90</v>
      </c>
      <c r="N41" s="90" t="s">
        <v>90</v>
      </c>
      <c r="O41" s="259"/>
      <c r="P41" s="184"/>
      <c r="Q41" s="260"/>
    </row>
    <row r="42" spans="1:17" ht="33" customHeight="1" x14ac:dyDescent="0.25">
      <c r="A42" s="3">
        <v>31</v>
      </c>
      <c r="B42" s="39" t="str">
        <f>IF('0 AVAL'!B66 = "", "", '0 AVAL'!B66)</f>
        <v/>
      </c>
      <c r="C42" s="39" t="str">
        <f>IF('0 AVAL'!C66 = "", "", '0 AVAL'!C66)</f>
        <v/>
      </c>
      <c r="D42" s="39"/>
      <c r="E42" s="89"/>
      <c r="F42" s="90" t="s">
        <v>90</v>
      </c>
      <c r="G42" s="90" t="s">
        <v>90</v>
      </c>
      <c r="H42" s="259"/>
      <c r="I42" s="260"/>
      <c r="J42" s="90" t="s">
        <v>90</v>
      </c>
      <c r="K42" s="91"/>
      <c r="L42" s="90"/>
      <c r="M42" s="90" t="s">
        <v>90</v>
      </c>
      <c r="N42" s="90" t="s">
        <v>90</v>
      </c>
      <c r="O42" s="259"/>
      <c r="P42" s="184"/>
      <c r="Q42" s="260"/>
    </row>
    <row r="43" spans="1:17" ht="33" customHeight="1" x14ac:dyDescent="0.25">
      <c r="A43" s="3">
        <v>32</v>
      </c>
      <c r="B43" s="39" t="str">
        <f>IF('0 AVAL'!B67 = "", "", '0 AVAL'!B67)</f>
        <v/>
      </c>
      <c r="C43" s="39" t="str">
        <f>IF('0 AVAL'!C67 = "", "", '0 AVAL'!C67)</f>
        <v/>
      </c>
      <c r="D43" s="39"/>
      <c r="E43" s="89"/>
      <c r="F43" s="90" t="s">
        <v>90</v>
      </c>
      <c r="G43" s="90" t="s">
        <v>90</v>
      </c>
      <c r="H43" s="259"/>
      <c r="I43" s="260"/>
      <c r="J43" s="90" t="s">
        <v>90</v>
      </c>
      <c r="K43" s="91"/>
      <c r="L43" s="90"/>
      <c r="M43" s="90" t="s">
        <v>90</v>
      </c>
      <c r="N43" s="90" t="s">
        <v>90</v>
      </c>
      <c r="O43" s="259"/>
      <c r="P43" s="184"/>
      <c r="Q43" s="260"/>
    </row>
    <row r="44" spans="1:17" ht="33" customHeight="1" x14ac:dyDescent="0.25">
      <c r="A44" s="3">
        <v>33</v>
      </c>
      <c r="B44" s="39" t="str">
        <f>IF('0 AVAL'!B68 = "", "", '0 AVAL'!B68)</f>
        <v/>
      </c>
      <c r="C44" s="39" t="str">
        <f>IF('0 AVAL'!C68 = "", "", '0 AVAL'!C68)</f>
        <v/>
      </c>
      <c r="D44" s="39"/>
      <c r="E44" s="89"/>
      <c r="F44" s="90" t="s">
        <v>90</v>
      </c>
      <c r="G44" s="90" t="s">
        <v>90</v>
      </c>
      <c r="H44" s="259"/>
      <c r="I44" s="260"/>
      <c r="J44" s="90" t="s">
        <v>90</v>
      </c>
      <c r="K44" s="91"/>
      <c r="L44" s="90"/>
      <c r="M44" s="90" t="s">
        <v>90</v>
      </c>
      <c r="N44" s="90" t="s">
        <v>90</v>
      </c>
      <c r="O44" s="259"/>
      <c r="P44" s="184"/>
      <c r="Q44" s="260"/>
    </row>
    <row r="45" spans="1:17" ht="33" customHeight="1" x14ac:dyDescent="0.25">
      <c r="A45" s="3">
        <v>34</v>
      </c>
      <c r="B45" s="39" t="str">
        <f>IF('0 AVAL'!B69 = "", "", '0 AVAL'!B69)</f>
        <v/>
      </c>
      <c r="C45" s="39" t="str">
        <f>IF('0 AVAL'!C69 = "", "", '0 AVAL'!C69)</f>
        <v/>
      </c>
      <c r="D45" s="39"/>
      <c r="E45" s="89"/>
      <c r="F45" s="90" t="s">
        <v>90</v>
      </c>
      <c r="G45" s="90" t="s">
        <v>90</v>
      </c>
      <c r="H45" s="259"/>
      <c r="I45" s="260"/>
      <c r="J45" s="90" t="s">
        <v>90</v>
      </c>
      <c r="K45" s="91"/>
      <c r="L45" s="90"/>
      <c r="M45" s="90" t="s">
        <v>90</v>
      </c>
      <c r="N45" s="90" t="s">
        <v>90</v>
      </c>
      <c r="O45" s="259"/>
      <c r="P45" s="184"/>
      <c r="Q45" s="260"/>
    </row>
    <row r="46" spans="1:17" ht="33" customHeight="1" x14ac:dyDescent="0.25">
      <c r="A46" s="3">
        <v>35</v>
      </c>
      <c r="B46" s="39" t="str">
        <f>IF('0 AVAL'!B70 = "", "", '0 AVAL'!B70)</f>
        <v/>
      </c>
      <c r="C46" s="39" t="str">
        <f>IF('0 AVAL'!C70 = "", "", '0 AVAL'!C70)</f>
        <v/>
      </c>
      <c r="D46" s="39"/>
      <c r="E46" s="89"/>
      <c r="F46" s="90" t="s">
        <v>90</v>
      </c>
      <c r="G46" s="90" t="s">
        <v>90</v>
      </c>
      <c r="H46" s="259"/>
      <c r="I46" s="260"/>
      <c r="J46" s="90" t="s">
        <v>90</v>
      </c>
      <c r="K46" s="91"/>
      <c r="L46" s="90"/>
      <c r="M46" s="90" t="s">
        <v>90</v>
      </c>
      <c r="N46" s="90" t="s">
        <v>90</v>
      </c>
      <c r="O46" s="259"/>
      <c r="P46" s="184"/>
      <c r="Q46" s="260"/>
    </row>
    <row r="47" spans="1:17" ht="33" customHeight="1" x14ac:dyDescent="0.25">
      <c r="A47" s="3">
        <v>36</v>
      </c>
      <c r="B47" s="39" t="str">
        <f>IF('0 AVAL'!B71 = "", "", '0 AVAL'!B71)</f>
        <v/>
      </c>
      <c r="C47" s="39" t="str">
        <f>IF('0 AVAL'!C71 = "", "", '0 AVAL'!C71)</f>
        <v/>
      </c>
      <c r="D47" s="39"/>
      <c r="E47" s="89"/>
      <c r="F47" s="90" t="s">
        <v>90</v>
      </c>
      <c r="G47" s="90" t="s">
        <v>90</v>
      </c>
      <c r="H47" s="259"/>
      <c r="I47" s="260"/>
      <c r="J47" s="90" t="s">
        <v>90</v>
      </c>
      <c r="K47" s="91"/>
      <c r="L47" s="90"/>
      <c r="M47" s="90" t="s">
        <v>90</v>
      </c>
      <c r="N47" s="90" t="s">
        <v>90</v>
      </c>
      <c r="O47" s="259"/>
      <c r="P47" s="184"/>
      <c r="Q47" s="260"/>
    </row>
    <row r="48" spans="1:17" ht="33" customHeight="1" x14ac:dyDescent="0.25">
      <c r="A48" s="3">
        <v>37</v>
      </c>
      <c r="B48" s="39" t="str">
        <f>IF('0 AVAL'!B72 = "", "", '0 AVAL'!B72)</f>
        <v/>
      </c>
      <c r="C48" s="39" t="str">
        <f>IF('0 AVAL'!C72 = "", "", '0 AVAL'!C72)</f>
        <v/>
      </c>
      <c r="D48" s="39"/>
      <c r="E48" s="89"/>
      <c r="F48" s="90" t="s">
        <v>90</v>
      </c>
      <c r="G48" s="90" t="s">
        <v>90</v>
      </c>
      <c r="H48" s="259"/>
      <c r="I48" s="260"/>
      <c r="J48" s="90" t="s">
        <v>90</v>
      </c>
      <c r="K48" s="91"/>
      <c r="L48" s="90"/>
      <c r="M48" s="90" t="s">
        <v>90</v>
      </c>
      <c r="N48" s="90" t="s">
        <v>90</v>
      </c>
      <c r="O48" s="259"/>
      <c r="P48" s="184"/>
      <c r="Q48" s="260"/>
    </row>
    <row r="49" spans="1:17" ht="33" customHeight="1" x14ac:dyDescent="0.25">
      <c r="A49" s="3">
        <v>38</v>
      </c>
      <c r="B49" s="39" t="str">
        <f>IF('0 AVAL'!B73 = "", "", '0 AVAL'!B73)</f>
        <v/>
      </c>
      <c r="C49" s="39" t="str">
        <f>IF('0 AVAL'!C73 = "", "", '0 AVAL'!C73)</f>
        <v/>
      </c>
      <c r="D49" s="39"/>
      <c r="E49" s="89"/>
      <c r="F49" s="90" t="s">
        <v>90</v>
      </c>
      <c r="G49" s="90" t="s">
        <v>90</v>
      </c>
      <c r="H49" s="259"/>
      <c r="I49" s="260"/>
      <c r="J49" s="90" t="s">
        <v>90</v>
      </c>
      <c r="K49" s="91"/>
      <c r="L49" s="90"/>
      <c r="M49" s="90" t="s">
        <v>90</v>
      </c>
      <c r="N49" s="90" t="s">
        <v>90</v>
      </c>
      <c r="O49" s="259"/>
      <c r="P49" s="184"/>
      <c r="Q49" s="260"/>
    </row>
    <row r="50" spans="1:17" ht="33" customHeight="1" x14ac:dyDescent="0.25">
      <c r="A50" s="3">
        <v>39</v>
      </c>
      <c r="B50" s="39" t="str">
        <f>IF('0 AVAL'!B74 = "", "", '0 AVAL'!B74)</f>
        <v/>
      </c>
      <c r="C50" s="39" t="str">
        <f>IF('0 AVAL'!C74 = "", "", '0 AVAL'!C74)</f>
        <v/>
      </c>
      <c r="D50" s="39"/>
      <c r="E50" s="89"/>
      <c r="F50" s="90" t="s">
        <v>90</v>
      </c>
      <c r="G50" s="90" t="s">
        <v>90</v>
      </c>
      <c r="H50" s="259"/>
      <c r="I50" s="260"/>
      <c r="J50" s="95" t="s">
        <v>90</v>
      </c>
      <c r="K50" s="96"/>
      <c r="L50" s="90"/>
      <c r="M50" s="90" t="s">
        <v>90</v>
      </c>
      <c r="N50" s="90" t="s">
        <v>90</v>
      </c>
      <c r="O50" s="259"/>
      <c r="P50" s="184"/>
      <c r="Q50" s="260"/>
    </row>
    <row r="51" spans="1:17" ht="33" customHeight="1" thickBot="1" x14ac:dyDescent="0.3">
      <c r="A51" s="3">
        <v>40</v>
      </c>
      <c r="B51" s="39" t="str">
        <f>IF('0 AVAL'!B75 = "", "", '0 AVAL'!B75)</f>
        <v/>
      </c>
      <c r="C51" s="39" t="str">
        <f>IF('0 AVAL'!C75 = "", "", '0 AVAL'!C75)</f>
        <v/>
      </c>
      <c r="D51" s="39"/>
      <c r="E51" s="97"/>
      <c r="F51" s="90" t="s">
        <v>90</v>
      </c>
      <c r="G51" s="90" t="s">
        <v>90</v>
      </c>
      <c r="H51" s="265"/>
      <c r="I51" s="266"/>
      <c r="J51" s="99" t="s">
        <v>90</v>
      </c>
      <c r="K51" s="100"/>
      <c r="L51" s="98"/>
      <c r="M51" s="90" t="s">
        <v>90</v>
      </c>
      <c r="N51" s="90" t="s">
        <v>90</v>
      </c>
      <c r="O51" s="265"/>
      <c r="P51" s="271"/>
      <c r="Q51" s="266"/>
    </row>
    <row r="52" spans="1:17" s="104" customFormat="1" ht="27" customHeight="1" x14ac:dyDescent="0.25">
      <c r="A52" s="75"/>
      <c r="B52" s="74"/>
      <c r="C52" s="102"/>
      <c r="D52" s="74"/>
      <c r="E52" s="74"/>
      <c r="F52" s="103" t="s">
        <v>91</v>
      </c>
      <c r="G52" s="74"/>
      <c r="H52" s="74"/>
      <c r="I52" s="74"/>
      <c r="J52" s="103" t="s">
        <v>91</v>
      </c>
      <c r="K52" s="74"/>
      <c r="M52" s="103" t="s">
        <v>91</v>
      </c>
      <c r="N52" s="103" t="s">
        <v>91</v>
      </c>
      <c r="O52" s="74"/>
      <c r="P52" s="74"/>
      <c r="Q52" s="74"/>
    </row>
    <row r="53" spans="1:17" ht="27" customHeight="1" thickBot="1" x14ac:dyDescent="0.3"/>
    <row r="54" spans="1:17" s="13" customFormat="1" ht="21.4" customHeight="1" thickBot="1" x14ac:dyDescent="0.3">
      <c r="B54" s="229" t="s">
        <v>92</v>
      </c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1"/>
    </row>
    <row r="55" spans="1:17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7" s="5" customFormat="1" ht="21.75" customHeight="1" x14ac:dyDescent="0.25">
      <c r="A56" s="105">
        <v>1</v>
      </c>
      <c r="B56" s="219"/>
      <c r="C56" s="172"/>
      <c r="D56" s="172"/>
      <c r="E56" s="172"/>
      <c r="F56" s="172"/>
      <c r="G56" s="172"/>
      <c r="H56" s="172"/>
      <c r="I56" s="172"/>
      <c r="J56" s="172"/>
      <c r="K56" s="227" t="s">
        <v>52</v>
      </c>
      <c r="L56" s="200"/>
      <c r="M56" s="200"/>
      <c r="N56" s="200"/>
      <c r="O56" s="200"/>
      <c r="P56" s="201"/>
    </row>
    <row r="57" spans="1:17" s="5" customFormat="1" ht="21.75" customHeight="1" x14ac:dyDescent="0.25">
      <c r="A57" s="105">
        <v>2</v>
      </c>
      <c r="B57" s="263"/>
      <c r="C57" s="193"/>
      <c r="D57" s="193"/>
      <c r="E57" s="193"/>
      <c r="F57" s="193"/>
      <c r="G57" s="193"/>
      <c r="H57" s="193"/>
      <c r="I57" s="193"/>
      <c r="J57" s="193"/>
      <c r="K57" s="202"/>
      <c r="L57" s="267"/>
      <c r="M57" s="267"/>
      <c r="N57" s="267"/>
      <c r="O57" s="267"/>
      <c r="P57" s="204"/>
    </row>
    <row r="58" spans="1:17" s="5" customFormat="1" ht="21.75" customHeight="1" x14ac:dyDescent="0.25">
      <c r="A58" s="105">
        <v>3</v>
      </c>
      <c r="B58" s="263"/>
      <c r="C58" s="193"/>
      <c r="D58" s="193"/>
      <c r="E58" s="193"/>
      <c r="F58" s="193"/>
      <c r="G58" s="193"/>
      <c r="H58" s="193"/>
      <c r="I58" s="193"/>
      <c r="J58" s="193"/>
      <c r="K58" s="202"/>
      <c r="L58" s="267"/>
      <c r="M58" s="267"/>
      <c r="N58" s="267"/>
      <c r="O58" s="267"/>
      <c r="P58" s="204"/>
    </row>
    <row r="59" spans="1:17" s="5" customFormat="1" ht="21.75" customHeight="1" x14ac:dyDescent="0.25">
      <c r="A59" s="105">
        <v>4</v>
      </c>
      <c r="B59" s="263"/>
      <c r="C59" s="193"/>
      <c r="D59" s="193"/>
      <c r="E59" s="193"/>
      <c r="F59" s="193"/>
      <c r="G59" s="193"/>
      <c r="H59" s="193"/>
      <c r="I59" s="193"/>
      <c r="J59" s="193"/>
      <c r="K59" s="202"/>
      <c r="L59" s="267"/>
      <c r="M59" s="267"/>
      <c r="N59" s="267"/>
      <c r="O59" s="267"/>
      <c r="P59" s="204"/>
    </row>
    <row r="60" spans="1:17" s="5" customFormat="1" ht="21.75" customHeight="1" x14ac:dyDescent="0.25">
      <c r="A60" s="105">
        <v>5</v>
      </c>
      <c r="B60" s="263"/>
      <c r="C60" s="193"/>
      <c r="D60" s="193"/>
      <c r="E60" s="193"/>
      <c r="F60" s="193"/>
      <c r="G60" s="193"/>
      <c r="H60" s="193"/>
      <c r="I60" s="193"/>
      <c r="J60" s="193"/>
      <c r="K60" s="202"/>
      <c r="L60" s="267"/>
      <c r="M60" s="267"/>
      <c r="N60" s="267"/>
      <c r="O60" s="267"/>
      <c r="P60" s="204"/>
    </row>
    <row r="61" spans="1:17" s="5" customFormat="1" ht="21.75" customHeight="1" x14ac:dyDescent="0.25">
      <c r="A61" s="105">
        <v>6</v>
      </c>
      <c r="B61" s="263"/>
      <c r="C61" s="193"/>
      <c r="D61" s="193"/>
      <c r="E61" s="193"/>
      <c r="F61" s="193"/>
      <c r="G61" s="193"/>
      <c r="H61" s="193"/>
      <c r="I61" s="193"/>
      <c r="J61" s="193"/>
      <c r="K61" s="202"/>
      <c r="L61" s="267"/>
      <c r="M61" s="267"/>
      <c r="N61" s="267"/>
      <c r="O61" s="267"/>
      <c r="P61" s="204"/>
    </row>
    <row r="62" spans="1:17" s="5" customFormat="1" ht="21.75" customHeight="1" thickBot="1" x14ac:dyDescent="0.3">
      <c r="A62" s="105">
        <v>7</v>
      </c>
      <c r="B62" s="262"/>
      <c r="C62" s="206"/>
      <c r="D62" s="206"/>
      <c r="E62" s="206"/>
      <c r="F62" s="206"/>
      <c r="G62" s="206"/>
      <c r="H62" s="206"/>
      <c r="I62" s="206"/>
      <c r="J62" s="206"/>
      <c r="K62" s="205"/>
      <c r="L62" s="206"/>
      <c r="M62" s="206"/>
      <c r="N62" s="206"/>
      <c r="O62" s="206"/>
      <c r="P62" s="207"/>
    </row>
    <row r="63" spans="1:17" ht="36.75" customHeight="1" x14ac:dyDescent="0.25">
      <c r="B63" s="264" t="s">
        <v>53</v>
      </c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</row>
  </sheetData>
  <mergeCells count="107">
    <mergeCell ref="B61:J61"/>
    <mergeCell ref="O44:Q44"/>
    <mergeCell ref="O22:Q22"/>
    <mergeCell ref="O31:Q31"/>
    <mergeCell ref="H39:I39"/>
    <mergeCell ref="O21:Q21"/>
    <mergeCell ref="O51:Q51"/>
    <mergeCell ref="O47:Q47"/>
    <mergeCell ref="H50:I50"/>
    <mergeCell ref="O50:Q50"/>
    <mergeCell ref="O46:Q46"/>
    <mergeCell ref="H49:I49"/>
    <mergeCell ref="O48:Q48"/>
    <mergeCell ref="O38:Q38"/>
    <mergeCell ref="B56:J56"/>
    <mergeCell ref="B58:J58"/>
    <mergeCell ref="O36:Q36"/>
    <mergeCell ref="O30:Q30"/>
    <mergeCell ref="H48:I48"/>
    <mergeCell ref="H38:I38"/>
    <mergeCell ref="O41:Q41"/>
    <mergeCell ref="O35:Q35"/>
    <mergeCell ref="H43:I43"/>
    <mergeCell ref="O45:Q45"/>
    <mergeCell ref="B2:C6"/>
    <mergeCell ref="H36:I36"/>
    <mergeCell ref="H17:I17"/>
    <mergeCell ref="H11:I11"/>
    <mergeCell ref="O14:Q14"/>
    <mergeCell ref="O23:Q23"/>
    <mergeCell ref="O29:Q29"/>
    <mergeCell ref="H35:I35"/>
    <mergeCell ref="O16:Q16"/>
    <mergeCell ref="J6:K6"/>
    <mergeCell ref="O11:Q11"/>
    <mergeCell ref="J7:K7"/>
    <mergeCell ref="H27:I27"/>
    <mergeCell ref="O28:Q28"/>
    <mergeCell ref="H24:I24"/>
    <mergeCell ref="H18:I18"/>
    <mergeCell ref="H33:I33"/>
    <mergeCell ref="D2:G6"/>
    <mergeCell ref="J3:K3"/>
    <mergeCell ref="H12:I12"/>
    <mergeCell ref="O15:Q15"/>
    <mergeCell ref="O24:Q24"/>
    <mergeCell ref="O18:Q18"/>
    <mergeCell ref="H14:I14"/>
    <mergeCell ref="H40:I40"/>
    <mergeCell ref="O43:Q43"/>
    <mergeCell ref="H21:I21"/>
    <mergeCell ref="O27:Q27"/>
    <mergeCell ref="O42:Q42"/>
    <mergeCell ref="O17:Q17"/>
    <mergeCell ref="B9:P9"/>
    <mergeCell ref="H32:I32"/>
    <mergeCell ref="O34:Q34"/>
    <mergeCell ref="O20:Q20"/>
    <mergeCell ref="H26:I26"/>
    <mergeCell ref="H37:I37"/>
    <mergeCell ref="H13:I13"/>
    <mergeCell ref="O19:Q19"/>
    <mergeCell ref="O33:Q33"/>
    <mergeCell ref="H15:I15"/>
    <mergeCell ref="O39:Q39"/>
    <mergeCell ref="J4:K4"/>
    <mergeCell ref="I2:I6"/>
    <mergeCell ref="B62:J62"/>
    <mergeCell ref="B59:J59"/>
    <mergeCell ref="H42:I42"/>
    <mergeCell ref="B63:O63"/>
    <mergeCell ref="H30:I30"/>
    <mergeCell ref="H20:I20"/>
    <mergeCell ref="H51:I51"/>
    <mergeCell ref="H47:I47"/>
    <mergeCell ref="B54:P54"/>
    <mergeCell ref="H28:I28"/>
    <mergeCell ref="H45:I45"/>
    <mergeCell ref="H41:I41"/>
    <mergeCell ref="O49:Q49"/>
    <mergeCell ref="B60:J60"/>
    <mergeCell ref="B57:J57"/>
    <mergeCell ref="K56:P62"/>
    <mergeCell ref="H29:I29"/>
    <mergeCell ref="O32:Q32"/>
    <mergeCell ref="O26:Q26"/>
    <mergeCell ref="H44:I44"/>
    <mergeCell ref="O40:Q40"/>
    <mergeCell ref="H46:I46"/>
    <mergeCell ref="J5:K5"/>
    <mergeCell ref="H23:I23"/>
    <mergeCell ref="H34:I34"/>
    <mergeCell ref="H25:I25"/>
    <mergeCell ref="O12:Q12"/>
    <mergeCell ref="L7:O7"/>
    <mergeCell ref="H16:I16"/>
    <mergeCell ref="O37:Q37"/>
    <mergeCell ref="H22:I22"/>
    <mergeCell ref="O13:Q13"/>
    <mergeCell ref="H19:I19"/>
    <mergeCell ref="L6:O6"/>
    <mergeCell ref="H31:I31"/>
    <mergeCell ref="O25:Q25"/>
    <mergeCell ref="H2:H6"/>
    <mergeCell ref="L3:O3"/>
    <mergeCell ref="L5:O5"/>
    <mergeCell ref="L4:O4"/>
  </mergeCells>
  <conditionalFormatting sqref="F52">
    <cfRule type="cellIs" dxfId="24" priority="8" operator="equal">
      <formula>"Sí"</formula>
    </cfRule>
  </conditionalFormatting>
  <conditionalFormatting sqref="F12:G52">
    <cfRule type="cellIs" dxfId="23" priority="1" operator="equal">
      <formula>"No"</formula>
    </cfRule>
  </conditionalFormatting>
  <conditionalFormatting sqref="J12:J52">
    <cfRule type="cellIs" dxfId="22" priority="5" operator="equal">
      <formula>"No"</formula>
    </cfRule>
  </conditionalFormatting>
  <conditionalFormatting sqref="J52">
    <cfRule type="cellIs" dxfId="21" priority="4" operator="equal">
      <formula>"Sí"</formula>
    </cfRule>
  </conditionalFormatting>
  <conditionalFormatting sqref="L12:N51">
    <cfRule type="cellIs" dxfId="20" priority="6" operator="equal">
      <formula>"Sí"</formula>
    </cfRule>
    <cfRule type="cellIs" dxfId="19" priority="7" operator="equal">
      <formula>"No"</formula>
    </cfRule>
  </conditionalFormatting>
  <conditionalFormatting sqref="M52:N52">
    <cfRule type="cellIs" dxfId="18" priority="2" operator="equal">
      <formula>"Sí"</formula>
    </cfRule>
    <cfRule type="cellIs" dxfId="17" priority="3" operator="equal">
      <formula>"No"</formula>
    </cfRule>
  </conditionalFormatting>
  <dataValidations count="2">
    <dataValidation allowBlank="1" showInputMessage="1" showErrorMessage="1" sqref="A52:K52 L6:O6 L12:L51 M52:XFD52" xr:uid="{00000000-0002-0000-0500-000000000000}"/>
    <dataValidation type="date" allowBlank="1" showInputMessage="1" showErrorMessage="1" sqref="L7" xr:uid="{00000000-0002-0000-0500-000001000000}">
      <formula1>45170</formula1>
      <formula2>47664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B62"/>
  <sheetViews>
    <sheetView workbookViewId="0">
      <selection activeCell="K3" sqref="K3:N3"/>
    </sheetView>
  </sheetViews>
  <sheetFormatPr baseColWidth="10" defaultColWidth="0" defaultRowHeight="15.75" zeroHeight="1" x14ac:dyDescent="0.25"/>
  <cols>
    <col min="1" max="1" width="4.7109375" style="1" customWidth="1"/>
    <col min="2" max="2" width="17.42578125" style="1" customWidth="1"/>
    <col min="3" max="3" width="41.5703125" style="1" customWidth="1"/>
    <col min="4" max="4" width="12.5703125" style="1" customWidth="1"/>
    <col min="5" max="5" width="3.7109375" style="51" customWidth="1"/>
    <col min="6" max="6" width="20.7109375" style="1" customWidth="1"/>
    <col min="7" max="8" width="15.85546875" style="1" customWidth="1"/>
    <col min="9" max="9" width="3.7109375" style="1" customWidth="1"/>
    <col min="10" max="10" width="24.28515625" style="1" customWidth="1"/>
    <col min="11" max="12" width="15.85546875" style="1" customWidth="1"/>
    <col min="13" max="13" width="3.7109375" style="1" customWidth="1"/>
    <col min="14" max="14" width="18" style="1" customWidth="1"/>
    <col min="15" max="16" width="15.85546875" style="1" customWidth="1"/>
    <col min="17" max="17" width="12.5703125" style="1" customWidth="1"/>
    <col min="18" max="25" width="0" style="1" hidden="1"/>
    <col min="26" max="184" width="4.42578125" style="1" hidden="1" customWidth="1"/>
    <col min="185" max="16384" width="0" style="1" hidden="1"/>
  </cols>
  <sheetData>
    <row r="1" spans="1:17" ht="15.75" customHeight="1" x14ac:dyDescent="0.25">
      <c r="A1" s="5"/>
      <c r="B1" s="5"/>
      <c r="C1" s="5"/>
      <c r="D1" s="5"/>
      <c r="E1" s="106"/>
      <c r="F1" s="5"/>
      <c r="G1" s="5"/>
      <c r="H1" s="5"/>
      <c r="I1" s="5"/>
      <c r="J1" s="6" t="s">
        <v>0</v>
      </c>
      <c r="K1" s="6"/>
      <c r="L1" s="6"/>
      <c r="M1" s="7"/>
      <c r="N1" s="6"/>
      <c r="O1" s="6"/>
      <c r="P1" s="6"/>
    </row>
    <row r="2" spans="1:17" ht="15.75" customHeight="1" x14ac:dyDescent="0.25">
      <c r="A2" s="5"/>
      <c r="B2" s="208" t="e">
        <v>#VALUE!</v>
      </c>
      <c r="C2" s="209"/>
      <c r="D2" s="208" t="e">
        <v>#VALUE!</v>
      </c>
      <c r="E2" s="272"/>
      <c r="F2" s="209"/>
      <c r="G2" s="209"/>
      <c r="H2" s="208"/>
      <c r="I2" s="8"/>
      <c r="K2" s="209"/>
      <c r="L2" s="209"/>
      <c r="M2" s="209"/>
      <c r="N2" s="209"/>
      <c r="O2" s="209"/>
      <c r="P2" s="209"/>
      <c r="Q2" s="209"/>
    </row>
    <row r="3" spans="1:17" ht="19.5" customHeight="1" x14ac:dyDescent="0.25">
      <c r="A3" s="5"/>
      <c r="B3" s="209"/>
      <c r="C3" s="209"/>
      <c r="D3" s="209"/>
      <c r="E3" s="272"/>
      <c r="F3" s="209"/>
      <c r="G3" s="209"/>
      <c r="H3" s="209"/>
      <c r="I3" s="8"/>
      <c r="J3" s="46" t="s">
        <v>1</v>
      </c>
      <c r="K3" s="182" t="str">
        <f>IF(ficha_alum!K3 = "", "", ficha_alum!K3)</f>
        <v/>
      </c>
      <c r="L3" s="172"/>
      <c r="M3" s="172"/>
      <c r="N3" s="172"/>
      <c r="O3" s="12"/>
      <c r="P3" s="12"/>
    </row>
    <row r="4" spans="1:17" ht="19.5" customHeight="1" x14ac:dyDescent="0.25">
      <c r="A4" s="5"/>
      <c r="B4" s="209"/>
      <c r="C4" s="209"/>
      <c r="D4" s="209"/>
      <c r="E4" s="272"/>
      <c r="F4" s="209"/>
      <c r="G4" s="209"/>
      <c r="H4" s="209"/>
      <c r="I4" s="8"/>
      <c r="J4" s="9" t="s">
        <v>2</v>
      </c>
      <c r="K4" s="182" t="str">
        <f>IF(ficha_alum!K4 = "", "", ficha_alum!K4)</f>
        <v/>
      </c>
      <c r="L4" s="172"/>
      <c r="M4" s="172"/>
      <c r="N4" s="172"/>
      <c r="O4" s="12"/>
      <c r="P4" s="12"/>
    </row>
    <row r="5" spans="1:17" ht="20.25" hidden="1" customHeight="1" x14ac:dyDescent="0.25">
      <c r="A5" s="5"/>
      <c r="B5" s="209"/>
      <c r="C5" s="209"/>
      <c r="D5" s="209"/>
      <c r="E5" s="272"/>
      <c r="F5" s="209"/>
      <c r="G5" s="209"/>
      <c r="H5" s="209"/>
      <c r="I5" s="8"/>
      <c r="K5" s="182" t="str">
        <f>IF(ficha_alum!K5 = "", "", ficha_alum!K5)</f>
        <v/>
      </c>
      <c r="L5" s="172"/>
      <c r="M5" s="172"/>
      <c r="N5" s="172"/>
      <c r="O5" s="12"/>
      <c r="P5" s="12"/>
    </row>
    <row r="6" spans="1:17" ht="19.5" customHeight="1" x14ac:dyDescent="0.25">
      <c r="A6" s="5"/>
      <c r="B6" s="209"/>
      <c r="C6" s="209"/>
      <c r="D6" s="209"/>
      <c r="E6" s="272"/>
      <c r="F6" s="209"/>
      <c r="G6" s="209"/>
      <c r="H6" s="209"/>
      <c r="I6" s="8"/>
      <c r="J6" s="47" t="s">
        <v>3</v>
      </c>
      <c r="K6" s="182" t="str">
        <f>IF(ficha_alum!K6 = "", "", ficha_alum!K6)</f>
        <v/>
      </c>
      <c r="L6" s="172"/>
      <c r="M6" s="172"/>
      <c r="N6" s="172"/>
      <c r="O6" s="12"/>
      <c r="P6" s="12"/>
    </row>
    <row r="7" spans="1:17" ht="19.5" customHeight="1" thickBot="1" x14ac:dyDescent="0.3">
      <c r="A7" s="5"/>
      <c r="B7" s="209"/>
      <c r="C7" s="209"/>
      <c r="D7" s="209"/>
      <c r="E7" s="272"/>
      <c r="F7" s="209"/>
      <c r="G7" s="209"/>
      <c r="H7" s="209"/>
      <c r="I7" s="8"/>
      <c r="J7" s="48" t="s">
        <v>77</v>
      </c>
      <c r="K7" s="237" t="s">
        <v>93</v>
      </c>
      <c r="L7" s="196"/>
      <c r="M7" s="196"/>
      <c r="N7" s="196"/>
      <c r="O7" s="12"/>
      <c r="P7" s="12"/>
    </row>
    <row r="8" spans="1:17" ht="19.5" customHeight="1" x14ac:dyDescent="0.25">
      <c r="A8" s="5"/>
      <c r="B8" s="5"/>
      <c r="C8" s="5"/>
      <c r="D8" s="8"/>
      <c r="E8" s="107"/>
      <c r="F8" s="8"/>
      <c r="G8" s="8"/>
      <c r="H8" s="8"/>
      <c r="I8" s="8"/>
      <c r="J8" s="49" t="s">
        <v>79</v>
      </c>
      <c r="K8" s="220"/>
      <c r="L8" s="177"/>
      <c r="M8" s="177"/>
      <c r="N8" s="177"/>
      <c r="O8" s="108"/>
      <c r="P8" s="108"/>
    </row>
    <row r="9" spans="1:17" ht="15" customHeight="1" x14ac:dyDescent="0.25"/>
    <row r="10" spans="1:17" s="13" customFormat="1" ht="30" customHeight="1" x14ac:dyDescent="0.25">
      <c r="B10" s="109" t="s">
        <v>94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2"/>
    </row>
    <row r="11" spans="1:17" ht="15" customHeight="1" x14ac:dyDescent="0.25">
      <c r="F11" s="113">
        <v>0.5</v>
      </c>
      <c r="J11" s="113">
        <v>0.5</v>
      </c>
    </row>
    <row r="12" spans="1:17" s="3" customFormat="1" ht="32.25" customHeight="1" x14ac:dyDescent="0.25">
      <c r="B12" s="114" t="s">
        <v>38</v>
      </c>
      <c r="C12" s="87" t="s">
        <v>39</v>
      </c>
      <c r="D12" s="115" t="s">
        <v>95</v>
      </c>
      <c r="E12" s="116"/>
      <c r="F12" s="114" t="s">
        <v>96</v>
      </c>
      <c r="G12" s="285" t="s">
        <v>66</v>
      </c>
      <c r="H12" s="260"/>
      <c r="I12" s="117"/>
      <c r="J12" s="118" t="s">
        <v>97</v>
      </c>
      <c r="K12" s="274" t="s">
        <v>66</v>
      </c>
      <c r="L12" s="275"/>
      <c r="M12" s="117"/>
      <c r="N12" s="118" t="s">
        <v>97</v>
      </c>
      <c r="O12" s="274" t="s">
        <v>66</v>
      </c>
      <c r="P12" s="275"/>
      <c r="Q12" s="119"/>
    </row>
    <row r="13" spans="1:17" ht="33" customHeight="1" x14ac:dyDescent="0.25">
      <c r="A13" s="3">
        <v>1</v>
      </c>
      <c r="B13" s="120" t="str">
        <f>IF('0 AVAL'!B36 = "", "", '0 AVAL'!B36)</f>
        <v/>
      </c>
      <c r="C13" s="120" t="str">
        <f>IF('0 AVAL'!C36 = "", "", '0 AVAL'!C36)</f>
        <v/>
      </c>
      <c r="D13" s="120"/>
      <c r="E13" s="107"/>
      <c r="F13" s="122"/>
      <c r="G13" s="278"/>
      <c r="H13" s="279"/>
      <c r="I13" s="123"/>
      <c r="J13" s="92"/>
      <c r="K13" s="273"/>
      <c r="L13" s="260"/>
      <c r="M13" s="123"/>
      <c r="N13" s="124" t="s">
        <v>90</v>
      </c>
      <c r="O13" s="273"/>
      <c r="P13" s="260"/>
      <c r="Q13" s="125"/>
    </row>
    <row r="14" spans="1:17" ht="33" customHeight="1" x14ac:dyDescent="0.25">
      <c r="A14" s="3">
        <v>2</v>
      </c>
      <c r="B14" s="120" t="str">
        <f>IF('0 AVAL'!B37 = "", "", '0 AVAL'!B37)</f>
        <v/>
      </c>
      <c r="C14" s="120" t="str">
        <f>IF('0 AVAL'!C37 = "", "", '0 AVAL'!C37)</f>
        <v/>
      </c>
      <c r="D14" s="120"/>
      <c r="E14" s="107"/>
      <c r="F14" s="92"/>
      <c r="G14" s="273"/>
      <c r="H14" s="260"/>
      <c r="I14" s="123"/>
      <c r="J14" s="92"/>
      <c r="K14" s="273"/>
      <c r="L14" s="260"/>
      <c r="M14" s="123"/>
      <c r="N14" s="124" t="s">
        <v>90</v>
      </c>
      <c r="O14" s="273"/>
      <c r="P14" s="260"/>
      <c r="Q14" s="123"/>
    </row>
    <row r="15" spans="1:17" ht="33" customHeight="1" x14ac:dyDescent="0.25">
      <c r="A15" s="3">
        <v>3</v>
      </c>
      <c r="B15" s="120" t="str">
        <f>IF('0 AVAL'!B38 = "", "", '0 AVAL'!B38)</f>
        <v/>
      </c>
      <c r="C15" s="120" t="str">
        <f>IF('0 AVAL'!C38 = "", "", '0 AVAL'!C38)</f>
        <v/>
      </c>
      <c r="D15" s="120"/>
      <c r="E15" s="107"/>
      <c r="F15" s="92"/>
      <c r="G15" s="273"/>
      <c r="H15" s="260"/>
      <c r="I15" s="123"/>
      <c r="J15" s="92"/>
      <c r="K15" s="273"/>
      <c r="L15" s="260"/>
      <c r="M15" s="123"/>
      <c r="N15" s="124" t="s">
        <v>90</v>
      </c>
      <c r="O15" s="273"/>
      <c r="P15" s="260"/>
      <c r="Q15" s="123"/>
    </row>
    <row r="16" spans="1:17" ht="33" customHeight="1" x14ac:dyDescent="0.25">
      <c r="A16" s="3">
        <v>4</v>
      </c>
      <c r="B16" s="120" t="str">
        <f>IF('0 AVAL'!B39 = "", "", '0 AVAL'!B39)</f>
        <v/>
      </c>
      <c r="C16" s="120" t="str">
        <f>IF('0 AVAL'!C39 = "", "", '0 AVAL'!C39)</f>
        <v/>
      </c>
      <c r="D16" s="120"/>
      <c r="E16" s="107"/>
      <c r="F16" s="92"/>
      <c r="G16" s="273"/>
      <c r="H16" s="260"/>
      <c r="I16" s="123"/>
      <c r="J16" s="92"/>
      <c r="K16" s="273"/>
      <c r="L16" s="260"/>
      <c r="M16" s="123"/>
      <c r="N16" s="124" t="s">
        <v>90</v>
      </c>
      <c r="O16" s="273"/>
      <c r="P16" s="260"/>
      <c r="Q16" s="123"/>
    </row>
    <row r="17" spans="1:16" ht="33" customHeight="1" x14ac:dyDescent="0.25">
      <c r="A17" s="3">
        <v>5</v>
      </c>
      <c r="B17" s="120" t="str">
        <f>IF('0 AVAL'!B40 = "", "", '0 AVAL'!B40)</f>
        <v/>
      </c>
      <c r="C17" s="120" t="str">
        <f>IF('0 AVAL'!C40 = "", "", '0 AVAL'!C40)</f>
        <v/>
      </c>
      <c r="D17" s="120"/>
      <c r="E17" s="107"/>
      <c r="F17" s="92"/>
      <c r="G17" s="273"/>
      <c r="H17" s="260"/>
      <c r="I17" s="123"/>
      <c r="J17" s="92"/>
      <c r="K17" s="273"/>
      <c r="L17" s="260"/>
      <c r="M17" s="123"/>
      <c r="N17" s="124" t="s">
        <v>90</v>
      </c>
      <c r="O17" s="273"/>
      <c r="P17" s="260"/>
    </row>
    <row r="18" spans="1:16" ht="33" customHeight="1" x14ac:dyDescent="0.25">
      <c r="A18" s="3">
        <v>6</v>
      </c>
      <c r="B18" s="120" t="str">
        <f>IF('0 AVAL'!B41 = "", "", '0 AVAL'!B41)</f>
        <v/>
      </c>
      <c r="C18" s="120" t="str">
        <f>IF('0 AVAL'!C41 = "", "", '0 AVAL'!C41)</f>
        <v/>
      </c>
      <c r="D18" s="120"/>
      <c r="E18" s="107"/>
      <c r="F18" s="92"/>
      <c r="G18" s="273"/>
      <c r="H18" s="260"/>
      <c r="I18" s="123"/>
      <c r="J18" s="92"/>
      <c r="K18" s="273"/>
      <c r="L18" s="260"/>
      <c r="M18" s="123"/>
      <c r="N18" s="124" t="s">
        <v>90</v>
      </c>
      <c r="O18" s="273"/>
      <c r="P18" s="260"/>
    </row>
    <row r="19" spans="1:16" ht="33" customHeight="1" x14ac:dyDescent="0.25">
      <c r="A19" s="3">
        <v>7</v>
      </c>
      <c r="B19" s="120" t="str">
        <f>IF('0 AVAL'!B42 = "", "", '0 AVAL'!B42)</f>
        <v/>
      </c>
      <c r="C19" s="120" t="str">
        <f>IF('0 AVAL'!C42 = "", "", '0 AVAL'!C42)</f>
        <v/>
      </c>
      <c r="D19" s="120"/>
      <c r="E19" s="107"/>
      <c r="F19" s="92"/>
      <c r="G19" s="273"/>
      <c r="H19" s="260"/>
      <c r="I19" s="123"/>
      <c r="J19" s="92"/>
      <c r="K19" s="273"/>
      <c r="L19" s="260"/>
      <c r="M19" s="123"/>
      <c r="N19" s="124" t="s">
        <v>90</v>
      </c>
      <c r="O19" s="273"/>
      <c r="P19" s="260"/>
    </row>
    <row r="20" spans="1:16" ht="33" customHeight="1" x14ac:dyDescent="0.25">
      <c r="A20" s="3">
        <v>8</v>
      </c>
      <c r="B20" s="120" t="str">
        <f>IF('0 AVAL'!B43 = "", "", '0 AVAL'!B43)</f>
        <v/>
      </c>
      <c r="C20" s="120" t="str">
        <f>IF('0 AVAL'!C43 = "", "", '0 AVAL'!C43)</f>
        <v/>
      </c>
      <c r="D20" s="120"/>
      <c r="E20" s="107"/>
      <c r="F20" s="92"/>
      <c r="G20" s="273"/>
      <c r="H20" s="260"/>
      <c r="I20" s="123"/>
      <c r="J20" s="92"/>
      <c r="K20" s="273"/>
      <c r="L20" s="260"/>
      <c r="M20" s="123"/>
      <c r="N20" s="124" t="s">
        <v>90</v>
      </c>
      <c r="O20" s="273"/>
      <c r="P20" s="260"/>
    </row>
    <row r="21" spans="1:16" ht="33" customHeight="1" x14ac:dyDescent="0.25">
      <c r="A21" s="3">
        <v>9</v>
      </c>
      <c r="B21" s="120" t="str">
        <f>IF('0 AVAL'!B44 = "", "", '0 AVAL'!B44)</f>
        <v/>
      </c>
      <c r="C21" s="120" t="str">
        <f>IF('0 AVAL'!C44 = "", "", '0 AVAL'!C44)</f>
        <v/>
      </c>
      <c r="D21" s="120"/>
      <c r="E21" s="107"/>
      <c r="F21" s="92"/>
      <c r="G21" s="273"/>
      <c r="H21" s="260"/>
      <c r="I21" s="123"/>
      <c r="J21" s="92"/>
      <c r="K21" s="273"/>
      <c r="L21" s="260"/>
      <c r="M21" s="123"/>
      <c r="N21" s="124" t="s">
        <v>90</v>
      </c>
      <c r="O21" s="273"/>
      <c r="P21" s="260"/>
    </row>
    <row r="22" spans="1:16" ht="33" customHeight="1" x14ac:dyDescent="0.25">
      <c r="A22" s="3">
        <v>10</v>
      </c>
      <c r="B22" s="120" t="str">
        <f>IF('0 AVAL'!B45 = "", "", '0 AVAL'!B45)</f>
        <v/>
      </c>
      <c r="C22" s="120" t="str">
        <f>IF('0 AVAL'!C45 = "", "", '0 AVAL'!C45)</f>
        <v/>
      </c>
      <c r="D22" s="120"/>
      <c r="E22" s="107"/>
      <c r="F22" s="92"/>
      <c r="G22" s="273"/>
      <c r="H22" s="260"/>
      <c r="I22" s="123"/>
      <c r="J22" s="92"/>
      <c r="K22" s="273"/>
      <c r="L22" s="260"/>
      <c r="M22" s="123"/>
      <c r="N22" s="124" t="s">
        <v>90</v>
      </c>
      <c r="O22" s="273"/>
      <c r="P22" s="260"/>
    </row>
    <row r="23" spans="1:16" ht="33" customHeight="1" x14ac:dyDescent="0.25">
      <c r="A23" s="3">
        <v>11</v>
      </c>
      <c r="B23" s="120" t="str">
        <f>IF('0 AVAL'!B46 = "", "", '0 AVAL'!B46)</f>
        <v/>
      </c>
      <c r="C23" s="120" t="str">
        <f>IF('0 AVAL'!C46 = "", "", '0 AVAL'!C46)</f>
        <v/>
      </c>
      <c r="D23" s="120"/>
      <c r="E23" s="107"/>
      <c r="F23" s="92"/>
      <c r="G23" s="273"/>
      <c r="H23" s="260"/>
      <c r="I23" s="123"/>
      <c r="J23" s="92"/>
      <c r="K23" s="273"/>
      <c r="L23" s="260"/>
      <c r="M23" s="123"/>
      <c r="N23" s="124" t="s">
        <v>90</v>
      </c>
      <c r="O23" s="273"/>
      <c r="P23" s="260"/>
    </row>
    <row r="24" spans="1:16" ht="33" customHeight="1" x14ac:dyDescent="0.25">
      <c r="A24" s="3">
        <v>12</v>
      </c>
      <c r="B24" s="120" t="str">
        <f>IF('0 AVAL'!B47 = "", "", '0 AVAL'!B47)</f>
        <v/>
      </c>
      <c r="C24" s="120" t="str">
        <f>IF('0 AVAL'!C47 = "", "", '0 AVAL'!C47)</f>
        <v/>
      </c>
      <c r="D24" s="120"/>
      <c r="E24" s="107"/>
      <c r="F24" s="92"/>
      <c r="G24" s="273"/>
      <c r="H24" s="260"/>
      <c r="I24" s="123"/>
      <c r="J24" s="92"/>
      <c r="K24" s="273"/>
      <c r="L24" s="260"/>
      <c r="M24" s="123"/>
      <c r="N24" s="124" t="s">
        <v>90</v>
      </c>
      <c r="O24" s="273"/>
      <c r="P24" s="260"/>
    </row>
    <row r="25" spans="1:16" ht="33" customHeight="1" x14ac:dyDescent="0.25">
      <c r="A25" s="3">
        <v>13</v>
      </c>
      <c r="B25" s="120" t="str">
        <f>IF('0 AVAL'!B48 = "", "", '0 AVAL'!B48)</f>
        <v/>
      </c>
      <c r="C25" s="120" t="str">
        <f>IF('0 AVAL'!C48 = "", "", '0 AVAL'!C48)</f>
        <v/>
      </c>
      <c r="D25" s="120"/>
      <c r="E25" s="107"/>
      <c r="F25" s="92"/>
      <c r="G25" s="273"/>
      <c r="H25" s="260"/>
      <c r="I25" s="123"/>
      <c r="J25" s="92"/>
      <c r="K25" s="273"/>
      <c r="L25" s="260"/>
      <c r="M25" s="123"/>
      <c r="N25" s="124" t="s">
        <v>90</v>
      </c>
      <c r="O25" s="273"/>
      <c r="P25" s="260"/>
    </row>
    <row r="26" spans="1:16" ht="33" customHeight="1" x14ac:dyDescent="0.25">
      <c r="A26" s="3">
        <v>14</v>
      </c>
      <c r="B26" s="120" t="str">
        <f>IF('0 AVAL'!B49 = "", "", '0 AVAL'!B49)</f>
        <v/>
      </c>
      <c r="C26" s="120" t="str">
        <f>IF('0 AVAL'!C49 = "", "", '0 AVAL'!C49)</f>
        <v/>
      </c>
      <c r="D26" s="120"/>
      <c r="E26" s="107"/>
      <c r="F26" s="92"/>
      <c r="G26" s="273"/>
      <c r="H26" s="260"/>
      <c r="I26" s="123"/>
      <c r="J26" s="92"/>
      <c r="K26" s="273"/>
      <c r="L26" s="260"/>
      <c r="M26" s="123"/>
      <c r="N26" s="124" t="s">
        <v>90</v>
      </c>
      <c r="O26" s="273"/>
      <c r="P26" s="260"/>
    </row>
    <row r="27" spans="1:16" ht="33" customHeight="1" x14ac:dyDescent="0.25">
      <c r="A27" s="3">
        <v>15</v>
      </c>
      <c r="B27" s="120" t="str">
        <f>IF('0 AVAL'!B50 = "", "", '0 AVAL'!B50)</f>
        <v/>
      </c>
      <c r="C27" s="120" t="str">
        <f>IF('0 AVAL'!C50 = "", "", '0 AVAL'!C50)</f>
        <v/>
      </c>
      <c r="D27" s="120"/>
      <c r="E27" s="107"/>
      <c r="F27" s="92"/>
      <c r="G27" s="273"/>
      <c r="H27" s="260"/>
      <c r="I27" s="123"/>
      <c r="J27" s="92"/>
      <c r="K27" s="273"/>
      <c r="L27" s="260"/>
      <c r="M27" s="123"/>
      <c r="N27" s="124" t="s">
        <v>90</v>
      </c>
      <c r="O27" s="273"/>
      <c r="P27" s="260"/>
    </row>
    <row r="28" spans="1:16" ht="33" customHeight="1" x14ac:dyDescent="0.25">
      <c r="A28" s="3">
        <v>16</v>
      </c>
      <c r="B28" s="120" t="str">
        <f>IF('0 AVAL'!B51 = "", "", '0 AVAL'!B51)</f>
        <v/>
      </c>
      <c r="C28" s="120" t="str">
        <f>IF('0 AVAL'!C51 = "", "", '0 AVAL'!C51)</f>
        <v/>
      </c>
      <c r="D28" s="120"/>
      <c r="E28" s="107"/>
      <c r="F28" s="92"/>
      <c r="G28" s="273"/>
      <c r="H28" s="260"/>
      <c r="I28" s="123"/>
      <c r="J28" s="92"/>
      <c r="K28" s="273"/>
      <c r="L28" s="260"/>
      <c r="M28" s="123"/>
      <c r="N28" s="124" t="s">
        <v>90</v>
      </c>
      <c r="O28" s="273"/>
      <c r="P28" s="260"/>
    </row>
    <row r="29" spans="1:16" ht="33" customHeight="1" x14ac:dyDescent="0.25">
      <c r="A29" s="3">
        <v>17</v>
      </c>
      <c r="B29" s="120" t="str">
        <f>IF('0 AVAL'!B52 = "", "", '0 AVAL'!B52)</f>
        <v/>
      </c>
      <c r="C29" s="120" t="str">
        <f>IF('0 AVAL'!C52 = "", "", '0 AVAL'!C52)</f>
        <v/>
      </c>
      <c r="D29" s="120"/>
      <c r="E29" s="107"/>
      <c r="F29" s="92"/>
      <c r="G29" s="273"/>
      <c r="H29" s="260"/>
      <c r="I29" s="123"/>
      <c r="J29" s="92"/>
      <c r="K29" s="273"/>
      <c r="L29" s="260"/>
      <c r="M29" s="123"/>
      <c r="N29" s="124" t="s">
        <v>90</v>
      </c>
      <c r="O29" s="273"/>
      <c r="P29" s="260"/>
    </row>
    <row r="30" spans="1:16" ht="33" customHeight="1" x14ac:dyDescent="0.25">
      <c r="A30" s="3">
        <v>18</v>
      </c>
      <c r="B30" s="120" t="str">
        <f>IF('0 AVAL'!B53 = "", "", '0 AVAL'!B53)</f>
        <v/>
      </c>
      <c r="C30" s="120" t="str">
        <f>IF('0 AVAL'!C53 = "", "", '0 AVAL'!C53)</f>
        <v/>
      </c>
      <c r="D30" s="120"/>
      <c r="E30" s="107"/>
      <c r="F30" s="92"/>
      <c r="G30" s="273"/>
      <c r="H30" s="260"/>
      <c r="I30" s="123"/>
      <c r="J30" s="92"/>
      <c r="K30" s="273"/>
      <c r="L30" s="260"/>
      <c r="M30" s="123"/>
      <c r="N30" s="124" t="s">
        <v>90</v>
      </c>
      <c r="O30" s="273"/>
      <c r="P30" s="260"/>
    </row>
    <row r="31" spans="1:16" ht="33" customHeight="1" x14ac:dyDescent="0.25">
      <c r="A31" s="3">
        <v>19</v>
      </c>
      <c r="B31" s="120" t="str">
        <f>IF('0 AVAL'!B54 = "", "", '0 AVAL'!B54)</f>
        <v/>
      </c>
      <c r="C31" s="120" t="str">
        <f>IF('0 AVAL'!C54 = "", "", '0 AVAL'!C54)</f>
        <v/>
      </c>
      <c r="D31" s="120"/>
      <c r="E31" s="107"/>
      <c r="F31" s="92"/>
      <c r="G31" s="273"/>
      <c r="H31" s="260"/>
      <c r="I31" s="123"/>
      <c r="J31" s="92"/>
      <c r="K31" s="273"/>
      <c r="L31" s="260"/>
      <c r="M31" s="123"/>
      <c r="N31" s="124" t="s">
        <v>90</v>
      </c>
      <c r="O31" s="273"/>
      <c r="P31" s="260"/>
    </row>
    <row r="32" spans="1:16" ht="33" customHeight="1" x14ac:dyDescent="0.25">
      <c r="A32" s="3">
        <v>20</v>
      </c>
      <c r="B32" s="120" t="str">
        <f>IF('0 AVAL'!B55 = "", "", '0 AVAL'!B55)</f>
        <v/>
      </c>
      <c r="C32" s="120" t="str">
        <f>IF('0 AVAL'!C55 = "", "", '0 AVAL'!C55)</f>
        <v/>
      </c>
      <c r="D32" s="120"/>
      <c r="E32" s="107"/>
      <c r="F32" s="92"/>
      <c r="G32" s="273"/>
      <c r="H32" s="260"/>
      <c r="I32" s="123"/>
      <c r="J32" s="92"/>
      <c r="K32" s="273"/>
      <c r="L32" s="260"/>
      <c r="M32" s="123"/>
      <c r="N32" s="124" t="s">
        <v>90</v>
      </c>
      <c r="O32" s="273"/>
      <c r="P32" s="260"/>
    </row>
    <row r="33" spans="1:16" ht="33" customHeight="1" x14ac:dyDescent="0.25">
      <c r="A33" s="3">
        <v>21</v>
      </c>
      <c r="B33" s="120" t="str">
        <f>IF('0 AVAL'!B56 = "", "", '0 AVAL'!B56)</f>
        <v/>
      </c>
      <c r="C33" s="120" t="str">
        <f>IF('0 AVAL'!C56 = "", "", '0 AVAL'!C56)</f>
        <v/>
      </c>
      <c r="D33" s="120"/>
      <c r="E33" s="107"/>
      <c r="F33" s="92"/>
      <c r="G33" s="273"/>
      <c r="H33" s="260"/>
      <c r="I33" s="123"/>
      <c r="J33" s="92"/>
      <c r="K33" s="273"/>
      <c r="L33" s="260"/>
      <c r="M33" s="123"/>
      <c r="N33" s="124" t="s">
        <v>90</v>
      </c>
      <c r="O33" s="273"/>
      <c r="P33" s="260"/>
    </row>
    <row r="34" spans="1:16" ht="33" customHeight="1" x14ac:dyDescent="0.25">
      <c r="A34" s="3">
        <v>22</v>
      </c>
      <c r="B34" s="120" t="str">
        <f>IF('0 AVAL'!B57 = "", "", '0 AVAL'!B57)</f>
        <v/>
      </c>
      <c r="C34" s="120" t="str">
        <f>IF('0 AVAL'!C57 = "", "", '0 AVAL'!C57)</f>
        <v/>
      </c>
      <c r="D34" s="120"/>
      <c r="E34" s="107"/>
      <c r="F34" s="92"/>
      <c r="G34" s="273"/>
      <c r="H34" s="260"/>
      <c r="I34" s="123"/>
      <c r="J34" s="92"/>
      <c r="K34" s="273"/>
      <c r="L34" s="260"/>
      <c r="M34" s="123"/>
      <c r="N34" s="124" t="s">
        <v>90</v>
      </c>
      <c r="O34" s="273"/>
      <c r="P34" s="260"/>
    </row>
    <row r="35" spans="1:16" ht="33" customHeight="1" x14ac:dyDescent="0.25">
      <c r="A35" s="3">
        <v>23</v>
      </c>
      <c r="B35" s="120" t="str">
        <f>IF('0 AVAL'!B58 = "", "", '0 AVAL'!B58)</f>
        <v/>
      </c>
      <c r="C35" s="120" t="str">
        <f>IF('0 AVAL'!C58 = "", "", '0 AVAL'!C58)</f>
        <v/>
      </c>
      <c r="D35" s="120"/>
      <c r="E35" s="107"/>
      <c r="F35" s="92"/>
      <c r="G35" s="273"/>
      <c r="H35" s="260"/>
      <c r="I35" s="123"/>
      <c r="J35" s="92"/>
      <c r="K35" s="273"/>
      <c r="L35" s="260"/>
      <c r="M35" s="123"/>
      <c r="N35" s="124" t="s">
        <v>90</v>
      </c>
      <c r="O35" s="273"/>
      <c r="P35" s="260"/>
    </row>
    <row r="36" spans="1:16" ht="33" customHeight="1" x14ac:dyDescent="0.25">
      <c r="A36" s="3">
        <v>24</v>
      </c>
      <c r="B36" s="120" t="str">
        <f>IF('0 AVAL'!B59 = "", "", '0 AVAL'!B59)</f>
        <v/>
      </c>
      <c r="C36" s="120" t="str">
        <f>IF('0 AVAL'!C59 = "", "", '0 AVAL'!C59)</f>
        <v/>
      </c>
      <c r="D36" s="120"/>
      <c r="E36" s="107"/>
      <c r="F36" s="92"/>
      <c r="G36" s="273"/>
      <c r="H36" s="260"/>
      <c r="I36" s="123"/>
      <c r="J36" s="92"/>
      <c r="K36" s="273"/>
      <c r="L36" s="260"/>
      <c r="M36" s="123"/>
      <c r="N36" s="124" t="s">
        <v>90</v>
      </c>
      <c r="O36" s="273"/>
      <c r="P36" s="260"/>
    </row>
    <row r="37" spans="1:16" ht="33" customHeight="1" x14ac:dyDescent="0.25">
      <c r="A37" s="3">
        <v>25</v>
      </c>
      <c r="B37" s="120" t="str">
        <f>IF('0 AVAL'!B60 = "", "", '0 AVAL'!B60)</f>
        <v/>
      </c>
      <c r="C37" s="120" t="str">
        <f>IF('0 AVAL'!C60 = "", "", '0 AVAL'!C60)</f>
        <v/>
      </c>
      <c r="D37" s="120"/>
      <c r="E37" s="107"/>
      <c r="F37" s="92"/>
      <c r="G37" s="273"/>
      <c r="H37" s="260"/>
      <c r="I37" s="123"/>
      <c r="J37" s="92"/>
      <c r="K37" s="273"/>
      <c r="L37" s="260"/>
      <c r="M37" s="123"/>
      <c r="N37" s="124" t="s">
        <v>90</v>
      </c>
      <c r="O37" s="273"/>
      <c r="P37" s="260"/>
    </row>
    <row r="38" spans="1:16" ht="33" customHeight="1" x14ac:dyDescent="0.25">
      <c r="A38" s="3">
        <v>26</v>
      </c>
      <c r="B38" s="120" t="str">
        <f>IF('0 AVAL'!B61 = "", "", '0 AVAL'!B61)</f>
        <v/>
      </c>
      <c r="C38" s="120" t="str">
        <f>IF('0 AVAL'!C61 = "", "", '0 AVAL'!C61)</f>
        <v/>
      </c>
      <c r="D38" s="120"/>
      <c r="E38" s="107"/>
      <c r="F38" s="92"/>
      <c r="G38" s="273"/>
      <c r="H38" s="260"/>
      <c r="I38" s="123"/>
      <c r="J38" s="92"/>
      <c r="K38" s="273"/>
      <c r="L38" s="260"/>
      <c r="M38" s="123"/>
      <c r="N38" s="124" t="s">
        <v>90</v>
      </c>
      <c r="O38" s="273"/>
      <c r="P38" s="260"/>
    </row>
    <row r="39" spans="1:16" ht="33" customHeight="1" x14ac:dyDescent="0.25">
      <c r="A39" s="3">
        <v>27</v>
      </c>
      <c r="B39" s="120" t="str">
        <f>IF('0 AVAL'!B62 = "", "", '0 AVAL'!B62)</f>
        <v/>
      </c>
      <c r="C39" s="120" t="str">
        <f>IF('0 AVAL'!C62 = "", "", '0 AVAL'!C62)</f>
        <v/>
      </c>
      <c r="D39" s="120"/>
      <c r="E39" s="107"/>
      <c r="F39" s="92"/>
      <c r="G39" s="273"/>
      <c r="H39" s="260"/>
      <c r="I39" s="123"/>
      <c r="J39" s="92"/>
      <c r="K39" s="273"/>
      <c r="L39" s="260"/>
      <c r="M39" s="123"/>
      <c r="N39" s="124" t="s">
        <v>90</v>
      </c>
      <c r="O39" s="273"/>
      <c r="P39" s="260"/>
    </row>
    <row r="40" spans="1:16" ht="33" customHeight="1" x14ac:dyDescent="0.25">
      <c r="A40" s="3">
        <v>28</v>
      </c>
      <c r="B40" s="120" t="str">
        <f>IF('0 AVAL'!B63 = "", "", '0 AVAL'!B63)</f>
        <v/>
      </c>
      <c r="C40" s="120" t="str">
        <f>IF('0 AVAL'!C63 = "", "", '0 AVAL'!C63)</f>
        <v/>
      </c>
      <c r="D40" s="120"/>
      <c r="E40" s="107"/>
      <c r="F40" s="92"/>
      <c r="G40" s="273"/>
      <c r="H40" s="260"/>
      <c r="I40" s="123"/>
      <c r="J40" s="92"/>
      <c r="K40" s="273"/>
      <c r="L40" s="260"/>
      <c r="M40" s="123"/>
      <c r="N40" s="124" t="s">
        <v>90</v>
      </c>
      <c r="O40" s="273"/>
      <c r="P40" s="260"/>
    </row>
    <row r="41" spans="1:16" ht="33" customHeight="1" x14ac:dyDescent="0.25">
      <c r="A41" s="3">
        <v>29</v>
      </c>
      <c r="B41" s="120" t="str">
        <f>IF('0 AVAL'!B64 = "", "", '0 AVAL'!B64)</f>
        <v/>
      </c>
      <c r="C41" s="120" t="str">
        <f>IF('0 AVAL'!C64 = "", "", '0 AVAL'!C64)</f>
        <v/>
      </c>
      <c r="D41" s="120"/>
      <c r="E41" s="107"/>
      <c r="F41" s="92"/>
      <c r="G41" s="273"/>
      <c r="H41" s="260"/>
      <c r="I41" s="123"/>
      <c r="J41" s="92"/>
      <c r="K41" s="273"/>
      <c r="L41" s="260"/>
      <c r="M41" s="123"/>
      <c r="N41" s="124" t="s">
        <v>90</v>
      </c>
      <c r="O41" s="273"/>
      <c r="P41" s="260"/>
    </row>
    <row r="42" spans="1:16" ht="33" customHeight="1" x14ac:dyDescent="0.25">
      <c r="A42" s="3">
        <v>30</v>
      </c>
      <c r="B42" s="120" t="str">
        <f>IF('0 AVAL'!B65 = "", "", '0 AVAL'!B65)</f>
        <v/>
      </c>
      <c r="C42" s="120" t="str">
        <f>IF('0 AVAL'!C65 = "", "", '0 AVAL'!C65)</f>
        <v/>
      </c>
      <c r="D42" s="120"/>
      <c r="E42" s="107"/>
      <c r="F42" s="92"/>
      <c r="G42" s="273"/>
      <c r="H42" s="260"/>
      <c r="I42" s="123"/>
      <c r="J42" s="92"/>
      <c r="K42" s="273"/>
      <c r="L42" s="260"/>
      <c r="M42" s="123"/>
      <c r="N42" s="124" t="s">
        <v>90</v>
      </c>
      <c r="O42" s="273"/>
      <c r="P42" s="260"/>
    </row>
    <row r="43" spans="1:16" ht="33" customHeight="1" x14ac:dyDescent="0.25">
      <c r="A43" s="3">
        <v>31</v>
      </c>
      <c r="B43" s="120" t="str">
        <f>IF('0 AVAL'!B66 = "", "", '0 AVAL'!B66)</f>
        <v/>
      </c>
      <c r="C43" s="120" t="str">
        <f>IF('0 AVAL'!C66 = "", "", '0 AVAL'!C66)</f>
        <v/>
      </c>
      <c r="D43" s="120"/>
      <c r="E43" s="107"/>
      <c r="F43" s="92"/>
      <c r="G43" s="93"/>
      <c r="H43" s="94"/>
      <c r="I43" s="123"/>
      <c r="J43" s="92"/>
      <c r="K43" s="93"/>
      <c r="L43" s="94"/>
      <c r="M43" s="123"/>
      <c r="N43" s="124" t="s">
        <v>90</v>
      </c>
      <c r="O43" s="93"/>
      <c r="P43" s="94"/>
    </row>
    <row r="44" spans="1:16" ht="33" customHeight="1" x14ac:dyDescent="0.25">
      <c r="A44" s="3">
        <v>32</v>
      </c>
      <c r="B44" s="120" t="str">
        <f>IF('0 AVAL'!B67 = "", "", '0 AVAL'!B67)</f>
        <v/>
      </c>
      <c r="C44" s="120" t="str">
        <f>IF('0 AVAL'!C67 = "", "", '0 AVAL'!C67)</f>
        <v/>
      </c>
      <c r="D44" s="120"/>
      <c r="E44" s="107"/>
      <c r="F44" s="92"/>
      <c r="G44" s="93"/>
      <c r="H44" s="94"/>
      <c r="I44" s="123"/>
      <c r="J44" s="92"/>
      <c r="K44" s="93"/>
      <c r="L44" s="94"/>
      <c r="M44" s="123"/>
      <c r="N44" s="124" t="s">
        <v>90</v>
      </c>
      <c r="O44" s="93"/>
      <c r="P44" s="94"/>
    </row>
    <row r="45" spans="1:16" ht="33" customHeight="1" x14ac:dyDescent="0.25">
      <c r="A45" s="3">
        <v>33</v>
      </c>
      <c r="B45" s="120" t="str">
        <f>IF('0 AVAL'!B68 = "", "", '0 AVAL'!B68)</f>
        <v/>
      </c>
      <c r="C45" s="120" t="str">
        <f>IF('0 AVAL'!C68 = "", "", '0 AVAL'!C68)</f>
        <v/>
      </c>
      <c r="D45" s="120"/>
      <c r="E45" s="107"/>
      <c r="F45" s="92"/>
      <c r="G45" s="93"/>
      <c r="H45" s="94"/>
      <c r="I45" s="123"/>
      <c r="J45" s="92"/>
      <c r="K45" s="93"/>
      <c r="L45" s="94"/>
      <c r="M45" s="123"/>
      <c r="N45" s="124" t="s">
        <v>90</v>
      </c>
      <c r="O45" s="93"/>
      <c r="P45" s="94"/>
    </row>
    <row r="46" spans="1:16" ht="33" customHeight="1" x14ac:dyDescent="0.25">
      <c r="A46" s="3">
        <v>34</v>
      </c>
      <c r="B46" s="120" t="str">
        <f>IF('0 AVAL'!B69 = "", "", '0 AVAL'!B69)</f>
        <v/>
      </c>
      <c r="C46" s="120" t="str">
        <f>IF('0 AVAL'!C69 = "", "", '0 AVAL'!C69)</f>
        <v/>
      </c>
      <c r="D46" s="120"/>
      <c r="E46" s="107"/>
      <c r="F46" s="92"/>
      <c r="G46" s="93"/>
      <c r="H46" s="94"/>
      <c r="I46" s="123"/>
      <c r="J46" s="92"/>
      <c r="K46" s="93"/>
      <c r="L46" s="94"/>
      <c r="M46" s="123"/>
      <c r="N46" s="124" t="s">
        <v>90</v>
      </c>
      <c r="O46" s="93"/>
      <c r="P46" s="94"/>
    </row>
    <row r="47" spans="1:16" ht="33" customHeight="1" x14ac:dyDescent="0.25">
      <c r="A47" s="3">
        <v>35</v>
      </c>
      <c r="B47" s="120" t="str">
        <f>IF('0 AVAL'!B70 = "", "", '0 AVAL'!B70)</f>
        <v/>
      </c>
      <c r="C47" s="120" t="str">
        <f>IF('0 AVAL'!C70 = "", "", '0 AVAL'!C70)</f>
        <v/>
      </c>
      <c r="D47" s="120"/>
      <c r="E47" s="107"/>
      <c r="F47" s="92"/>
      <c r="G47" s="93"/>
      <c r="H47" s="94"/>
      <c r="I47" s="123"/>
      <c r="J47" s="92"/>
      <c r="K47" s="93"/>
      <c r="L47" s="94"/>
      <c r="M47" s="123"/>
      <c r="N47" s="124" t="s">
        <v>90</v>
      </c>
      <c r="O47" s="93"/>
      <c r="P47" s="94"/>
    </row>
    <row r="48" spans="1:16" ht="33" customHeight="1" x14ac:dyDescent="0.25">
      <c r="A48" s="3">
        <v>36</v>
      </c>
      <c r="B48" s="120" t="str">
        <f>IF('0 AVAL'!B71 = "", "", '0 AVAL'!B71)</f>
        <v/>
      </c>
      <c r="C48" s="120" t="str">
        <f>IF('0 AVAL'!C71 = "", "", '0 AVAL'!C71)</f>
        <v/>
      </c>
      <c r="D48" s="120"/>
      <c r="E48" s="107"/>
      <c r="F48" s="92"/>
      <c r="G48" s="273"/>
      <c r="H48" s="260"/>
      <c r="I48" s="123"/>
      <c r="J48" s="92"/>
      <c r="K48" s="273"/>
      <c r="L48" s="260"/>
      <c r="M48" s="123"/>
      <c r="N48" s="124" t="s">
        <v>90</v>
      </c>
      <c r="O48" s="273"/>
      <c r="P48" s="260"/>
    </row>
    <row r="49" spans="1:16" ht="33" customHeight="1" x14ac:dyDescent="0.25">
      <c r="A49" s="3">
        <v>37</v>
      </c>
      <c r="B49" s="120" t="str">
        <f>IF('0 AVAL'!B72 = "", "", '0 AVAL'!B72)</f>
        <v/>
      </c>
      <c r="C49" s="120" t="str">
        <f>IF('0 AVAL'!C72 = "", "", '0 AVAL'!C72)</f>
        <v/>
      </c>
      <c r="D49" s="120"/>
      <c r="E49" s="107"/>
      <c r="F49" s="92"/>
      <c r="G49" s="273"/>
      <c r="H49" s="260"/>
      <c r="I49" s="123"/>
      <c r="J49" s="92"/>
      <c r="K49" s="273"/>
      <c r="L49" s="260"/>
      <c r="M49" s="123"/>
      <c r="N49" s="124" t="s">
        <v>90</v>
      </c>
      <c r="O49" s="273"/>
      <c r="P49" s="260"/>
    </row>
    <row r="50" spans="1:16" ht="33" customHeight="1" x14ac:dyDescent="0.25">
      <c r="A50" s="3">
        <v>38</v>
      </c>
      <c r="B50" s="120" t="str">
        <f>IF('0 AVAL'!B73 = "", "", '0 AVAL'!B73)</f>
        <v/>
      </c>
      <c r="C50" s="120" t="str">
        <f>IF('0 AVAL'!C73 = "", "", '0 AVAL'!C73)</f>
        <v/>
      </c>
      <c r="D50" s="120"/>
      <c r="E50" s="107"/>
      <c r="F50" s="92"/>
      <c r="G50" s="273"/>
      <c r="H50" s="260"/>
      <c r="I50" s="123"/>
      <c r="J50" s="92"/>
      <c r="K50" s="273"/>
      <c r="L50" s="260"/>
      <c r="M50" s="123"/>
      <c r="N50" s="124" t="s">
        <v>90</v>
      </c>
      <c r="O50" s="273"/>
      <c r="P50" s="260"/>
    </row>
    <row r="51" spans="1:16" ht="40.5" customHeight="1" x14ac:dyDescent="0.25">
      <c r="A51" s="3">
        <v>39</v>
      </c>
      <c r="B51" s="120" t="str">
        <f>IF('0 AVAL'!B74 = "", "", '0 AVAL'!B74)</f>
        <v/>
      </c>
      <c r="C51" s="120" t="str">
        <f>IF('0 AVAL'!C74 = "", "", '0 AVAL'!C74)</f>
        <v/>
      </c>
      <c r="D51" s="120"/>
      <c r="E51" s="107"/>
      <c r="F51" s="92"/>
      <c r="G51" s="273"/>
      <c r="H51" s="260"/>
      <c r="I51" s="123"/>
      <c r="J51" s="92"/>
      <c r="K51" s="273"/>
      <c r="L51" s="260"/>
      <c r="M51" s="123"/>
      <c r="N51" s="124" t="s">
        <v>90</v>
      </c>
      <c r="O51" s="273"/>
      <c r="P51" s="260"/>
    </row>
    <row r="52" spans="1:16" ht="40.5" customHeight="1" thickBot="1" x14ac:dyDescent="0.3">
      <c r="A52" s="3">
        <v>40</v>
      </c>
      <c r="B52" s="120" t="str">
        <f>IF('0 AVAL'!B75 = "", "", '0 AVAL'!B75)</f>
        <v/>
      </c>
      <c r="C52" s="120" t="str">
        <f>IF('0 AVAL'!C75 = "", "", '0 AVAL'!C75)</f>
        <v/>
      </c>
      <c r="D52" s="120"/>
      <c r="E52" s="107"/>
      <c r="F52" s="101"/>
      <c r="G52" s="276"/>
      <c r="H52" s="266"/>
      <c r="I52" s="123"/>
      <c r="J52" s="101"/>
      <c r="K52" s="276"/>
      <c r="L52" s="266"/>
      <c r="M52" s="123"/>
      <c r="N52" s="126" t="s">
        <v>90</v>
      </c>
      <c r="O52" s="276"/>
      <c r="P52" s="266"/>
    </row>
    <row r="53" spans="1:16" ht="27" customHeight="1" x14ac:dyDescent="0.25"/>
    <row r="54" spans="1:16" ht="40.5" customHeight="1" x14ac:dyDescent="0.25">
      <c r="B54" s="277" t="s">
        <v>92</v>
      </c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</row>
    <row r="55" spans="1:16" s="5" customFormat="1" ht="30.75" customHeight="1" x14ac:dyDescent="0.25">
      <c r="A55" s="105">
        <v>1</v>
      </c>
      <c r="B55" s="263"/>
      <c r="C55" s="193"/>
      <c r="D55" s="193"/>
      <c r="E55" s="193"/>
      <c r="F55" s="193"/>
      <c r="G55" s="193"/>
      <c r="H55" s="193"/>
      <c r="I55" s="193"/>
      <c r="J55" s="193"/>
      <c r="K55" s="280" t="s">
        <v>52</v>
      </c>
      <c r="L55" s="281"/>
      <c r="M55" s="281"/>
      <c r="N55" s="281"/>
      <c r="O55" s="281"/>
      <c r="P55" s="282"/>
    </row>
    <row r="56" spans="1:16" s="5" customFormat="1" ht="30.75" customHeight="1" x14ac:dyDescent="0.25">
      <c r="A56" s="105">
        <v>2</v>
      </c>
      <c r="B56" s="263"/>
      <c r="C56" s="193"/>
      <c r="D56" s="193"/>
      <c r="E56" s="193"/>
      <c r="F56" s="193"/>
      <c r="G56" s="193"/>
      <c r="H56" s="193"/>
      <c r="I56" s="193"/>
      <c r="J56" s="193"/>
      <c r="K56" s="202"/>
      <c r="L56" s="267"/>
      <c r="M56" s="267"/>
      <c r="N56" s="267"/>
      <c r="O56" s="267"/>
      <c r="P56" s="204"/>
    </row>
    <row r="57" spans="1:16" s="5" customFormat="1" ht="30.75" customHeight="1" x14ac:dyDescent="0.25">
      <c r="A57" s="105">
        <v>3</v>
      </c>
      <c r="B57" s="263"/>
      <c r="C57" s="193"/>
      <c r="D57" s="193"/>
      <c r="E57" s="193"/>
      <c r="F57" s="193"/>
      <c r="G57" s="193"/>
      <c r="H57" s="193"/>
      <c r="I57" s="193"/>
      <c r="J57" s="193"/>
      <c r="K57" s="202"/>
      <c r="L57" s="267"/>
      <c r="M57" s="267"/>
      <c r="N57" s="267"/>
      <c r="O57" s="267"/>
      <c r="P57" s="204"/>
    </row>
    <row r="58" spans="1:16" s="5" customFormat="1" ht="30.75" customHeight="1" x14ac:dyDescent="0.25">
      <c r="A58" s="105">
        <v>4</v>
      </c>
      <c r="B58" s="263"/>
      <c r="C58" s="193"/>
      <c r="D58" s="193"/>
      <c r="E58" s="193"/>
      <c r="F58" s="193"/>
      <c r="G58" s="193"/>
      <c r="H58" s="193"/>
      <c r="I58" s="193"/>
      <c r="J58" s="193"/>
      <c r="K58" s="202"/>
      <c r="L58" s="267"/>
      <c r="M58" s="267"/>
      <c r="N58" s="267"/>
      <c r="O58" s="267"/>
      <c r="P58" s="204"/>
    </row>
    <row r="59" spans="1:16" s="5" customFormat="1" ht="30.75" customHeight="1" x14ac:dyDescent="0.25">
      <c r="A59" s="105">
        <v>5</v>
      </c>
      <c r="B59" s="263"/>
      <c r="C59" s="193"/>
      <c r="D59" s="193"/>
      <c r="E59" s="193"/>
      <c r="F59" s="193"/>
      <c r="G59" s="193"/>
      <c r="H59" s="193"/>
      <c r="I59" s="193"/>
      <c r="J59" s="193"/>
      <c r="K59" s="202"/>
      <c r="L59" s="267"/>
      <c r="M59" s="267"/>
      <c r="N59" s="267"/>
      <c r="O59" s="267"/>
      <c r="P59" s="204"/>
    </row>
    <row r="60" spans="1:16" s="5" customFormat="1" ht="30.75" customHeight="1" x14ac:dyDescent="0.25">
      <c r="A60" s="105">
        <v>6</v>
      </c>
      <c r="B60" s="263"/>
      <c r="C60" s="193"/>
      <c r="D60" s="193"/>
      <c r="E60" s="193"/>
      <c r="F60" s="193"/>
      <c r="G60" s="193"/>
      <c r="H60" s="193"/>
      <c r="I60" s="193"/>
      <c r="J60" s="193"/>
      <c r="K60" s="202"/>
      <c r="L60" s="267"/>
      <c r="M60" s="267"/>
      <c r="N60" s="267"/>
      <c r="O60" s="267"/>
      <c r="P60" s="204"/>
    </row>
    <row r="61" spans="1:16" s="5" customFormat="1" ht="30.75" customHeight="1" thickBot="1" x14ac:dyDescent="0.3">
      <c r="A61" s="105">
        <v>7</v>
      </c>
      <c r="B61" s="262"/>
      <c r="C61" s="206"/>
      <c r="D61" s="206"/>
      <c r="E61" s="206"/>
      <c r="F61" s="206"/>
      <c r="G61" s="206"/>
      <c r="H61" s="206"/>
      <c r="I61" s="206"/>
      <c r="J61" s="206"/>
      <c r="K61" s="283"/>
      <c r="L61" s="181"/>
      <c r="M61" s="181"/>
      <c r="N61" s="181"/>
      <c r="O61" s="181"/>
      <c r="P61" s="284"/>
    </row>
    <row r="62" spans="1:16" ht="36.75" customHeight="1" x14ac:dyDescent="0.25">
      <c r="B62" s="264" t="s">
        <v>53</v>
      </c>
      <c r="C62" s="209"/>
      <c r="D62" s="209"/>
      <c r="E62" s="272"/>
      <c r="F62" s="209"/>
      <c r="G62" s="209"/>
      <c r="H62" s="209"/>
      <c r="I62" s="209"/>
      <c r="J62" s="209"/>
      <c r="K62" s="209"/>
      <c r="L62" s="209"/>
      <c r="M62" s="209"/>
      <c r="N62" s="209"/>
      <c r="O62" s="127"/>
      <c r="P62" s="127"/>
    </row>
  </sheetData>
  <mergeCells count="128">
    <mergeCell ref="K7:N7"/>
    <mergeCell ref="K26:L26"/>
    <mergeCell ref="K35:L35"/>
    <mergeCell ref="K30:L30"/>
    <mergeCell ref="G12:H12"/>
    <mergeCell ref="K15:L15"/>
    <mergeCell ref="G48:H48"/>
    <mergeCell ref="K21:L21"/>
    <mergeCell ref="K51:L51"/>
    <mergeCell ref="G38:H38"/>
    <mergeCell ref="K32:L32"/>
    <mergeCell ref="K41:L41"/>
    <mergeCell ref="G49:H49"/>
    <mergeCell ref="G24:H24"/>
    <mergeCell ref="G42:H42"/>
    <mergeCell ref="K8:N8"/>
    <mergeCell ref="K18:L18"/>
    <mergeCell ref="K19:L19"/>
    <mergeCell ref="K16:L16"/>
    <mergeCell ref="K25:L25"/>
    <mergeCell ref="G15:H15"/>
    <mergeCell ref="K24:L24"/>
    <mergeCell ref="K33:L33"/>
    <mergeCell ref="O15:P15"/>
    <mergeCell ref="G23:H23"/>
    <mergeCell ref="O29:P29"/>
    <mergeCell ref="O31:P31"/>
    <mergeCell ref="O21:P21"/>
    <mergeCell ref="B60:J60"/>
    <mergeCell ref="B57:J57"/>
    <mergeCell ref="O39:P39"/>
    <mergeCell ref="G39:H39"/>
    <mergeCell ref="O36:P36"/>
    <mergeCell ref="O30:P30"/>
    <mergeCell ref="K29:L29"/>
    <mergeCell ref="G51:H51"/>
    <mergeCell ref="O48:P48"/>
    <mergeCell ref="B55:J55"/>
    <mergeCell ref="K52:L52"/>
    <mergeCell ref="G34:H34"/>
    <mergeCell ref="O16:P16"/>
    <mergeCell ref="O25:P25"/>
    <mergeCell ref="K42:L42"/>
    <mergeCell ref="K4:N4"/>
    <mergeCell ref="K50:L50"/>
    <mergeCell ref="O32:P32"/>
    <mergeCell ref="O26:P26"/>
    <mergeCell ref="O41:P41"/>
    <mergeCell ref="D2:G7"/>
    <mergeCell ref="G18:H18"/>
    <mergeCell ref="O35:P35"/>
    <mergeCell ref="O34:P34"/>
    <mergeCell ref="K27:L27"/>
    <mergeCell ref="G26:H26"/>
    <mergeCell ref="K17:L17"/>
    <mergeCell ref="G16:H16"/>
    <mergeCell ref="G25:H25"/>
    <mergeCell ref="G21:H21"/>
    <mergeCell ref="O28:P28"/>
    <mergeCell ref="O27:P27"/>
    <mergeCell ref="G20:H20"/>
    <mergeCell ref="O17:P17"/>
    <mergeCell ref="K28:L28"/>
    <mergeCell ref="K37:L37"/>
    <mergeCell ref="G22:H22"/>
    <mergeCell ref="K13:L13"/>
    <mergeCell ref="H2:H7"/>
    <mergeCell ref="O40:P40"/>
    <mergeCell ref="B59:J59"/>
    <mergeCell ref="G41:H41"/>
    <mergeCell ref="G50:H50"/>
    <mergeCell ref="G33:H33"/>
    <mergeCell ref="O51:P51"/>
    <mergeCell ref="O37:P37"/>
    <mergeCell ref="G35:H35"/>
    <mergeCell ref="K49:L49"/>
    <mergeCell ref="B56:J56"/>
    <mergeCell ref="B58:J58"/>
    <mergeCell ref="K55:P61"/>
    <mergeCell ref="B61:J61"/>
    <mergeCell ref="O19:P19"/>
    <mergeCell ref="B2:C7"/>
    <mergeCell ref="K34:L34"/>
    <mergeCell ref="G52:H52"/>
    <mergeCell ref="G27:H27"/>
    <mergeCell ref="O24:P24"/>
    <mergeCell ref="O18:P18"/>
    <mergeCell ref="G36:H36"/>
    <mergeCell ref="O33:P33"/>
    <mergeCell ref="K36:L36"/>
    <mergeCell ref="G17:H17"/>
    <mergeCell ref="K20:L20"/>
    <mergeCell ref="O49:P49"/>
    <mergeCell ref="G19:H19"/>
    <mergeCell ref="K2:Q2"/>
    <mergeCell ref="K6:N6"/>
    <mergeCell ref="K3:N3"/>
    <mergeCell ref="O20:P20"/>
    <mergeCell ref="G37:H37"/>
    <mergeCell ref="K31:L31"/>
    <mergeCell ref="G13:H13"/>
    <mergeCell ref="K40:L40"/>
    <mergeCell ref="K5:N5"/>
    <mergeCell ref="O22:P22"/>
    <mergeCell ref="B62:N62"/>
    <mergeCell ref="G28:H28"/>
    <mergeCell ref="K22:L22"/>
    <mergeCell ref="K12:L12"/>
    <mergeCell ref="G30:H30"/>
    <mergeCell ref="O50:P50"/>
    <mergeCell ref="O42:P42"/>
    <mergeCell ref="G14:H14"/>
    <mergeCell ref="K39:L39"/>
    <mergeCell ref="K14:L14"/>
    <mergeCell ref="K48:L48"/>
    <mergeCell ref="O12:P12"/>
    <mergeCell ref="O52:P52"/>
    <mergeCell ref="G29:H29"/>
    <mergeCell ref="B54:P54"/>
    <mergeCell ref="K38:L38"/>
    <mergeCell ref="O14:P14"/>
    <mergeCell ref="G31:H31"/>
    <mergeCell ref="G40:H40"/>
    <mergeCell ref="O13:P13"/>
    <mergeCell ref="K23:L23"/>
    <mergeCell ref="G32:H32"/>
    <mergeCell ref="O23:P23"/>
    <mergeCell ref="O38:P38"/>
  </mergeCells>
  <conditionalFormatting sqref="F13:F52">
    <cfRule type="cellIs" dxfId="16" priority="5" operator="equal">
      <formula>"Sí"</formula>
    </cfRule>
  </conditionalFormatting>
  <conditionalFormatting sqref="F13:G52">
    <cfRule type="cellIs" dxfId="15" priority="6" operator="equal">
      <formula>"No"</formula>
    </cfRule>
  </conditionalFormatting>
  <conditionalFormatting sqref="J13:J52">
    <cfRule type="cellIs" dxfId="14" priority="3" operator="equal">
      <formula>"Sí"</formula>
    </cfRule>
  </conditionalFormatting>
  <conditionalFormatting sqref="J13:K52">
    <cfRule type="cellIs" dxfId="13" priority="4" operator="equal">
      <formula>"No"</formula>
    </cfRule>
  </conditionalFormatting>
  <conditionalFormatting sqref="N13:N52">
    <cfRule type="cellIs" dxfId="12" priority="2" operator="equal">
      <formula>"Sí"</formula>
    </cfRule>
  </conditionalFormatting>
  <conditionalFormatting sqref="N13:O52">
    <cfRule type="cellIs" dxfId="11" priority="1" operator="equal">
      <formula>"No"</formula>
    </cfRule>
  </conditionalFormatting>
  <dataValidations count="2">
    <dataValidation allowBlank="1" showInputMessage="1" showErrorMessage="1" sqref="K7:N7" xr:uid="{00000000-0002-0000-0600-000000000000}"/>
    <dataValidation type="date" allowBlank="1" showInputMessage="1" showErrorMessage="1" sqref="K8:P8" xr:uid="{00000000-0002-0000-0600-000001000000}">
      <formula1>45170</formula1>
      <formula2>47664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FY99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28515625" style="1" customWidth="1"/>
    <col min="2" max="2" width="21.7109375" style="1" customWidth="1"/>
    <col min="3" max="3" width="28.28515625" style="1" customWidth="1"/>
    <col min="4" max="5" width="12.5703125" style="1" customWidth="1"/>
    <col min="6" max="7" width="10.140625" style="1" customWidth="1"/>
    <col min="8" max="8" width="14.140625" style="1" customWidth="1"/>
    <col min="9" max="9" width="16.7109375" style="1" customWidth="1"/>
    <col min="10" max="10" width="18" style="1" customWidth="1"/>
    <col min="11" max="11" width="15.85546875" style="1" customWidth="1"/>
    <col min="12" max="14" width="12.5703125" style="1" customWidth="1"/>
    <col min="15" max="22" width="0" style="1" hidden="1"/>
    <col min="23" max="181" width="4.42578125" style="1" hidden="1" customWidth="1"/>
    <col min="182" max="16382" width="0" style="1" hidden="1"/>
    <col min="16383" max="16383" width="3.140625" style="1" customWidth="1"/>
    <col min="16384" max="16384" width="7.7109375" style="1" customWidth="1"/>
  </cols>
  <sheetData>
    <row r="1" spans="2:14" ht="15.75" customHeight="1" x14ac:dyDescent="0.25">
      <c r="B1" s="5"/>
      <c r="C1" s="5"/>
      <c r="D1" s="5"/>
      <c r="E1" s="5"/>
      <c r="F1" s="5"/>
      <c r="G1" s="5"/>
      <c r="H1" s="5"/>
      <c r="I1" s="6" t="s">
        <v>0</v>
      </c>
      <c r="J1" s="6"/>
      <c r="K1" s="6"/>
      <c r="L1" s="7"/>
      <c r="M1" s="6"/>
    </row>
    <row r="2" spans="2:14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8"/>
      <c r="J2" s="209"/>
      <c r="K2" s="209"/>
      <c r="L2" s="209"/>
      <c r="M2" s="209"/>
      <c r="N2" s="209"/>
    </row>
    <row r="3" spans="2:14" ht="15.75" customHeight="1" x14ac:dyDescent="0.25">
      <c r="B3" s="209"/>
      <c r="C3" s="209"/>
      <c r="D3" s="209"/>
      <c r="E3" s="209"/>
      <c r="F3" s="209"/>
      <c r="G3" s="209"/>
      <c r="H3" s="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2:14" ht="15.75" customHeight="1" x14ac:dyDescent="0.25">
      <c r="B4" s="209"/>
      <c r="C4" s="209"/>
      <c r="D4" s="209"/>
      <c r="E4" s="209"/>
      <c r="F4" s="209"/>
      <c r="G4" s="209"/>
      <c r="H4" s="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2:14" ht="15.75" customHeight="1" x14ac:dyDescent="0.25">
      <c r="B5" s="209"/>
      <c r="C5" s="209"/>
      <c r="D5" s="209"/>
      <c r="E5" s="209"/>
      <c r="F5" s="209"/>
      <c r="G5" s="209"/>
      <c r="H5" s="8"/>
      <c r="I5" s="47" t="s">
        <v>3</v>
      </c>
      <c r="J5" s="182" t="str">
        <f>IF(ficha_alum!K5 = "", "", ficha_alum!K5)</f>
        <v/>
      </c>
      <c r="K5" s="172"/>
      <c r="L5" s="172"/>
      <c r="M5" s="172"/>
    </row>
    <row r="6" spans="2:14" ht="15.75" customHeight="1" thickBot="1" x14ac:dyDescent="0.3">
      <c r="B6" s="209"/>
      <c r="C6" s="209"/>
      <c r="D6" s="209"/>
      <c r="E6" s="209"/>
      <c r="F6" s="209"/>
      <c r="G6" s="209"/>
      <c r="H6" s="8"/>
      <c r="I6" s="48" t="s">
        <v>10</v>
      </c>
      <c r="J6" s="237" t="s">
        <v>98</v>
      </c>
      <c r="K6" s="196"/>
      <c r="L6" s="196"/>
      <c r="M6" s="196"/>
    </row>
    <row r="7" spans="2:14" x14ac:dyDescent="0.25">
      <c r="B7" s="5"/>
      <c r="C7" s="5"/>
      <c r="D7" s="8"/>
      <c r="E7" s="8"/>
      <c r="F7" s="8"/>
      <c r="G7" s="8"/>
      <c r="H7" s="8"/>
      <c r="I7" s="1" t="s">
        <v>79</v>
      </c>
      <c r="J7" s="220"/>
      <c r="K7" s="177"/>
      <c r="L7" s="177"/>
      <c r="M7" s="177"/>
    </row>
    <row r="9" spans="2:14" s="13" customFormat="1" ht="21" customHeight="1" x14ac:dyDescent="0.25">
      <c r="B9" s="214" t="s">
        <v>13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1" spans="2:14" ht="15.6" customHeight="1" x14ac:dyDescent="0.25">
      <c r="B11" s="238" t="s">
        <v>14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</row>
    <row r="12" spans="2:14" ht="56.25" customHeight="1" x14ac:dyDescent="0.25">
      <c r="B12" s="233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222"/>
      <c r="N12" s="1" t="s">
        <v>90</v>
      </c>
    </row>
    <row r="13" spans="2:14" ht="27" customHeight="1" x14ac:dyDescent="0.25"/>
    <row r="14" spans="2:14" x14ac:dyDescent="0.25">
      <c r="B14" s="290" t="s">
        <v>15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</row>
    <row r="15" spans="2:14" ht="56.25" customHeight="1" x14ac:dyDescent="0.25">
      <c r="B15" s="233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222"/>
    </row>
    <row r="16" spans="2:14" ht="27" customHeight="1" x14ac:dyDescent="0.25"/>
    <row r="17" spans="2:14" x14ac:dyDescent="0.25">
      <c r="B17" s="290" t="s">
        <v>54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</row>
    <row r="18" spans="2:14" ht="56.25" customHeight="1" x14ac:dyDescent="0.25">
      <c r="B18" s="233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222"/>
    </row>
    <row r="19" spans="2:14" ht="27" customHeight="1" x14ac:dyDescent="0.25"/>
    <row r="20" spans="2:14" s="13" customFormat="1" ht="21" customHeight="1" x14ac:dyDescent="0.25">
      <c r="B20" s="214" t="s">
        <v>17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</row>
    <row r="21" spans="2:14" x14ac:dyDescent="0.25">
      <c r="B21" s="1" t="s">
        <v>18</v>
      </c>
    </row>
    <row r="22" spans="2:14" ht="56.25" customHeight="1" x14ac:dyDescent="0.25">
      <c r="B22" s="233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222"/>
    </row>
    <row r="23" spans="2:14" ht="27" customHeight="1" x14ac:dyDescent="0.25"/>
    <row r="24" spans="2:14" s="13" customFormat="1" ht="21" customHeight="1" x14ac:dyDescent="0.25">
      <c r="B24" s="214" t="s">
        <v>55</v>
      </c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</row>
    <row r="25" spans="2:14" x14ac:dyDescent="0.25">
      <c r="B25" s="50" t="s">
        <v>56</v>
      </c>
      <c r="L25" s="51"/>
      <c r="M25" s="51"/>
      <c r="N25" s="51"/>
    </row>
    <row r="26" spans="2:14" ht="21" customHeight="1" x14ac:dyDescent="0.25">
      <c r="D26" s="128" t="s">
        <v>69</v>
      </c>
      <c r="F26" s="129"/>
      <c r="L26" s="128" t="s">
        <v>69</v>
      </c>
      <c r="M26" s="128" t="s">
        <v>23</v>
      </c>
      <c r="N26" s="128" t="s">
        <v>99</v>
      </c>
    </row>
    <row r="27" spans="2:14" ht="21" customHeight="1" x14ac:dyDescent="0.25">
      <c r="C27" s="70" t="s">
        <v>57</v>
      </c>
      <c r="D27" s="30">
        <f>COUNTIFS($C$39:$C$78,"&lt;&gt;",$D$39:$D$78,"&lt;&gt;Baixa")-COUNTBLANK($C$39:$C$78)</f>
        <v>0</v>
      </c>
      <c r="E27" s="54" t="s">
        <v>23</v>
      </c>
      <c r="G27" s="287" t="s">
        <v>100</v>
      </c>
      <c r="H27" s="209"/>
      <c r="I27" s="209"/>
      <c r="J27" s="209"/>
      <c r="K27" s="209"/>
      <c r="L27" s="56">
        <v>0</v>
      </c>
      <c r="M27" s="55" t="str">
        <f>IFERROR(L27/$D$27,"-")</f>
        <v>-</v>
      </c>
      <c r="N27" s="130" t="str">
        <f>IFERROR(L27/$D$31,"-")</f>
        <v>-</v>
      </c>
    </row>
    <row r="28" spans="2:14" ht="21" customHeight="1" x14ac:dyDescent="0.25">
      <c r="C28" s="70" t="s">
        <v>26</v>
      </c>
      <c r="D28" s="30">
        <f>COUNTIFS($D$39:$D$78,"Baixa")</f>
        <v>0</v>
      </c>
      <c r="E28" s="55" t="str">
        <f>IFERROR(D28/$D$27,"-")</f>
        <v>-</v>
      </c>
      <c r="F28" s="131"/>
      <c r="G28" s="287" t="s">
        <v>101</v>
      </c>
      <c r="H28" s="209"/>
      <c r="I28" s="209"/>
      <c r="J28" s="209"/>
      <c r="K28" s="209"/>
      <c r="L28" s="56">
        <v>0</v>
      </c>
      <c r="M28" s="55" t="str">
        <f>IFERROR(L28/$D$27,"-")</f>
        <v>-</v>
      </c>
      <c r="N28" s="130" t="str">
        <f>IFERROR(L28/$D$31,"-")</f>
        <v>-</v>
      </c>
    </row>
    <row r="29" spans="2:14" ht="21" customHeight="1" x14ac:dyDescent="0.25">
      <c r="C29" s="70" t="s">
        <v>59</v>
      </c>
      <c r="D29" s="32">
        <v>0</v>
      </c>
      <c r="E29" s="55" t="str">
        <f>IFERROR(D29/$D$27,"-")</f>
        <v>-</v>
      </c>
      <c r="G29" s="287" t="s">
        <v>102</v>
      </c>
      <c r="H29" s="209"/>
      <c r="I29" s="209"/>
      <c r="J29" s="209"/>
      <c r="K29" s="209"/>
      <c r="L29" s="56">
        <v>0</v>
      </c>
      <c r="M29" s="55" t="str">
        <f>IFERROR(L29/$D$27,"-")</f>
        <v>-</v>
      </c>
      <c r="N29" s="130" t="str">
        <f>IFERROR(L29/$D$31,"-")</f>
        <v>-</v>
      </c>
    </row>
    <row r="30" spans="2:14" ht="21" customHeight="1" x14ac:dyDescent="0.25">
      <c r="C30" s="70" t="s">
        <v>60</v>
      </c>
      <c r="D30" s="32">
        <v>0</v>
      </c>
      <c r="E30" s="55" t="str">
        <f>IFERROR(D30/$D$27,"-")</f>
        <v>-</v>
      </c>
      <c r="G30" s="287" t="s">
        <v>103</v>
      </c>
      <c r="H30" s="209"/>
      <c r="I30" s="209"/>
      <c r="J30" s="209"/>
      <c r="K30" s="209"/>
      <c r="L30" s="56">
        <v>0</v>
      </c>
      <c r="M30" s="55" t="str">
        <f>IFERROR(L30/$D$27,"-")</f>
        <v>-</v>
      </c>
      <c r="N30" s="130" t="str">
        <f>IFERROR(L30/$D$31,"-")</f>
        <v>-</v>
      </c>
    </row>
    <row r="31" spans="2:14" ht="21" customHeight="1" x14ac:dyDescent="0.25">
      <c r="C31" s="70" t="s">
        <v>61</v>
      </c>
      <c r="D31" s="32">
        <v>0</v>
      </c>
      <c r="E31" s="55" t="str">
        <f>IFERROR(D31/$D$27,"-")</f>
        <v>-</v>
      </c>
      <c r="G31" s="287" t="s">
        <v>104</v>
      </c>
      <c r="H31" s="209"/>
      <c r="I31" s="209"/>
      <c r="J31" s="209"/>
      <c r="K31" s="209"/>
      <c r="L31" s="56">
        <v>0</v>
      </c>
      <c r="M31" s="55" t="str">
        <f>IFERROR(L31/$D$27,"-")</f>
        <v>-</v>
      </c>
      <c r="N31" s="130" t="str">
        <f>IFERROR(L31/$D$31,"-")</f>
        <v>-</v>
      </c>
    </row>
    <row r="32" spans="2:14" ht="21" customHeight="1" thickBot="1" x14ac:dyDescent="0.3">
      <c r="C32" s="70" t="s">
        <v>62</v>
      </c>
      <c r="D32" s="132">
        <v>0</v>
      </c>
      <c r="E32" s="133" t="str">
        <f>IFERROR(D32/$D$27,"-")</f>
        <v>-</v>
      </c>
      <c r="G32" s="287"/>
      <c r="H32" s="209"/>
      <c r="I32" s="209"/>
      <c r="J32" s="209"/>
      <c r="K32" s="209"/>
    </row>
    <row r="33" spans="1:14" ht="21" customHeight="1" x14ac:dyDescent="0.25">
      <c r="C33" s="16"/>
      <c r="D33" s="16"/>
      <c r="E33" s="16"/>
      <c r="F33" s="16"/>
      <c r="G33" s="287" t="s">
        <v>105</v>
      </c>
      <c r="H33" s="209"/>
      <c r="I33" s="209"/>
      <c r="J33" s="209"/>
      <c r="K33" s="209"/>
      <c r="L33" s="56">
        <v>0</v>
      </c>
      <c r="M33" s="55" t="str">
        <f>IFERROR(L33/$D$27,"-")</f>
        <v>-</v>
      </c>
      <c r="N33" s="130" t="str">
        <f>IFERROR(L33/$D$31,"-")</f>
        <v>-</v>
      </c>
    </row>
    <row r="34" spans="1:14" ht="21" customHeight="1" x14ac:dyDescent="0.25">
      <c r="C34" s="16"/>
      <c r="D34" s="16"/>
      <c r="E34" s="16"/>
      <c r="F34" s="16"/>
      <c r="G34" s="287" t="s">
        <v>106</v>
      </c>
      <c r="H34" s="209"/>
      <c r="I34" s="209"/>
      <c r="J34" s="209"/>
      <c r="K34" s="209"/>
      <c r="L34" s="134">
        <f>D27-L33</f>
        <v>0</v>
      </c>
      <c r="M34" s="55" t="str">
        <f>IFERROR(L34/$D$27,"-")</f>
        <v>-</v>
      </c>
      <c r="N34" s="130" t="str">
        <f>IFERROR(L34/$D$31,"-")</f>
        <v>-</v>
      </c>
    </row>
    <row r="36" spans="1:14" s="13" customFormat="1" ht="21" customHeight="1" x14ac:dyDescent="0.25">
      <c r="B36" s="214" t="s">
        <v>37</v>
      </c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</row>
    <row r="38" spans="1:14" s="135" customFormat="1" ht="32.25" customHeight="1" x14ac:dyDescent="0.25">
      <c r="B38" s="136" t="s">
        <v>38</v>
      </c>
      <c r="C38" s="40" t="s">
        <v>39</v>
      </c>
      <c r="D38" s="40" t="s">
        <v>95</v>
      </c>
      <c r="E38" s="137" t="s">
        <v>107</v>
      </c>
      <c r="F38" s="291" t="s">
        <v>108</v>
      </c>
      <c r="G38" s="172"/>
      <c r="H38" s="137" t="s">
        <v>109</v>
      </c>
      <c r="I38" s="137" t="s">
        <v>110</v>
      </c>
      <c r="J38" s="138" t="s">
        <v>111</v>
      </c>
      <c r="K38" s="289" t="s">
        <v>112</v>
      </c>
      <c r="L38" s="172"/>
      <c r="M38" s="172"/>
      <c r="N38" s="222"/>
    </row>
    <row r="39" spans="1:14" ht="33" customHeight="1" x14ac:dyDescent="0.25">
      <c r="A39" s="3">
        <v>1</v>
      </c>
      <c r="B39" s="139" t="str">
        <f>IF('0 AVAL'!B36 = "", "", '0 AVAL'!B36)</f>
        <v/>
      </c>
      <c r="C39" s="139" t="str">
        <f>IF('0 AVAL'!C36 = "", "", '0 AVAL'!C36)</f>
        <v/>
      </c>
      <c r="D39" s="140"/>
      <c r="E39" s="141" t="s">
        <v>90</v>
      </c>
      <c r="F39" s="292"/>
      <c r="G39" s="279"/>
      <c r="H39" s="141" t="s">
        <v>90</v>
      </c>
      <c r="I39" s="142"/>
      <c r="J39" s="141" t="s">
        <v>90</v>
      </c>
      <c r="K39" s="292"/>
      <c r="L39" s="181"/>
      <c r="M39" s="181"/>
      <c r="N39" s="279"/>
    </row>
    <row r="40" spans="1:14" ht="33" customHeight="1" x14ac:dyDescent="0.25">
      <c r="A40" s="3">
        <v>2</v>
      </c>
      <c r="B40" s="139" t="str">
        <f>IF('0 AVAL'!B37 = "", "", '0 AVAL'!B37)</f>
        <v/>
      </c>
      <c r="C40" s="139" t="str">
        <f>IF('0 AVAL'!C37 = "", "", '0 AVAL'!C37)</f>
        <v/>
      </c>
      <c r="D40" s="121"/>
      <c r="E40" s="141" t="s">
        <v>90</v>
      </c>
      <c r="F40" s="286"/>
      <c r="G40" s="260"/>
      <c r="H40" s="141" t="s">
        <v>90</v>
      </c>
      <c r="I40" s="143"/>
      <c r="J40" s="141" t="s">
        <v>90</v>
      </c>
      <c r="K40" s="286"/>
      <c r="L40" s="184"/>
      <c r="M40" s="184"/>
      <c r="N40" s="260"/>
    </row>
    <row r="41" spans="1:14" ht="33" customHeight="1" x14ac:dyDescent="0.25">
      <c r="A41" s="3">
        <v>3</v>
      </c>
      <c r="B41" s="139" t="str">
        <f>IF('0 AVAL'!B38 = "", "", '0 AVAL'!B38)</f>
        <v/>
      </c>
      <c r="C41" s="139" t="str">
        <f>IF('0 AVAL'!C38 = "", "", '0 AVAL'!C38)</f>
        <v/>
      </c>
      <c r="D41" s="121"/>
      <c r="E41" s="141" t="s">
        <v>90</v>
      </c>
      <c r="F41" s="286"/>
      <c r="G41" s="260"/>
      <c r="H41" s="141" t="s">
        <v>90</v>
      </c>
      <c r="I41" s="143"/>
      <c r="J41" s="141" t="s">
        <v>90</v>
      </c>
      <c r="K41" s="286"/>
      <c r="L41" s="184"/>
      <c r="M41" s="184"/>
      <c r="N41" s="260"/>
    </row>
    <row r="42" spans="1:14" ht="33" customHeight="1" x14ac:dyDescent="0.25">
      <c r="A42" s="3">
        <v>4</v>
      </c>
      <c r="B42" s="139" t="str">
        <f>IF('0 AVAL'!B39 = "", "", '0 AVAL'!B39)</f>
        <v/>
      </c>
      <c r="C42" s="139" t="str">
        <f>IF('0 AVAL'!C39 = "", "", '0 AVAL'!C39)</f>
        <v/>
      </c>
      <c r="D42" s="121"/>
      <c r="E42" s="141" t="s">
        <v>90</v>
      </c>
      <c r="F42" s="286"/>
      <c r="G42" s="260"/>
      <c r="H42" s="141" t="s">
        <v>90</v>
      </c>
      <c r="I42" s="143"/>
      <c r="J42" s="141" t="s">
        <v>90</v>
      </c>
      <c r="K42" s="286"/>
      <c r="L42" s="184"/>
      <c r="M42" s="184"/>
      <c r="N42" s="260"/>
    </row>
    <row r="43" spans="1:14" ht="33" customHeight="1" x14ac:dyDescent="0.25">
      <c r="A43" s="3">
        <v>5</v>
      </c>
      <c r="B43" s="139" t="str">
        <f>IF('0 AVAL'!B40 = "", "", '0 AVAL'!B40)</f>
        <v/>
      </c>
      <c r="C43" s="139" t="str">
        <f>IF('0 AVAL'!C40 = "", "", '0 AVAL'!C40)</f>
        <v/>
      </c>
      <c r="D43" s="121"/>
      <c r="E43" s="141" t="s">
        <v>90</v>
      </c>
      <c r="F43" s="286"/>
      <c r="G43" s="260"/>
      <c r="H43" s="141" t="s">
        <v>90</v>
      </c>
      <c r="I43" s="143"/>
      <c r="J43" s="141" t="s">
        <v>90</v>
      </c>
      <c r="K43" s="286"/>
      <c r="L43" s="184"/>
      <c r="M43" s="184"/>
      <c r="N43" s="260"/>
    </row>
    <row r="44" spans="1:14" ht="33" customHeight="1" x14ac:dyDescent="0.25">
      <c r="A44" s="3">
        <v>6</v>
      </c>
      <c r="B44" s="139" t="str">
        <f>IF('0 AVAL'!B41 = "", "", '0 AVAL'!B41)</f>
        <v/>
      </c>
      <c r="C44" s="139" t="str">
        <f>IF('0 AVAL'!C41 = "", "", '0 AVAL'!C41)</f>
        <v/>
      </c>
      <c r="D44" s="121"/>
      <c r="E44" s="141" t="s">
        <v>90</v>
      </c>
      <c r="F44" s="286"/>
      <c r="G44" s="260"/>
      <c r="H44" s="141" t="s">
        <v>90</v>
      </c>
      <c r="I44" s="143"/>
      <c r="J44" s="141" t="s">
        <v>90</v>
      </c>
      <c r="K44" s="286"/>
      <c r="L44" s="184"/>
      <c r="M44" s="184"/>
      <c r="N44" s="260"/>
    </row>
    <row r="45" spans="1:14" ht="33" customHeight="1" x14ac:dyDescent="0.25">
      <c r="A45" s="3">
        <v>7</v>
      </c>
      <c r="B45" s="139" t="str">
        <f>IF('0 AVAL'!B42 = "", "", '0 AVAL'!B42)</f>
        <v/>
      </c>
      <c r="C45" s="139" t="str">
        <f>IF('0 AVAL'!C42 = "", "", '0 AVAL'!C42)</f>
        <v/>
      </c>
      <c r="D45" s="121"/>
      <c r="E45" s="141" t="s">
        <v>90</v>
      </c>
      <c r="F45" s="286"/>
      <c r="G45" s="260"/>
      <c r="H45" s="141" t="s">
        <v>90</v>
      </c>
      <c r="I45" s="143"/>
      <c r="J45" s="141" t="s">
        <v>90</v>
      </c>
      <c r="K45" s="286"/>
      <c r="L45" s="184"/>
      <c r="M45" s="184"/>
      <c r="N45" s="260"/>
    </row>
    <row r="46" spans="1:14" ht="33" customHeight="1" x14ac:dyDescent="0.25">
      <c r="A46" s="3">
        <v>8</v>
      </c>
      <c r="B46" s="139" t="str">
        <f>IF('0 AVAL'!B43 = "", "", '0 AVAL'!B43)</f>
        <v/>
      </c>
      <c r="C46" s="139" t="str">
        <f>IF('0 AVAL'!C43 = "", "", '0 AVAL'!C43)</f>
        <v/>
      </c>
      <c r="D46" s="121"/>
      <c r="E46" s="141" t="s">
        <v>90</v>
      </c>
      <c r="F46" s="286"/>
      <c r="G46" s="260"/>
      <c r="H46" s="141" t="s">
        <v>90</v>
      </c>
      <c r="I46" s="143"/>
      <c r="J46" s="141" t="s">
        <v>90</v>
      </c>
      <c r="K46" s="286"/>
      <c r="L46" s="184"/>
      <c r="M46" s="184"/>
      <c r="N46" s="260"/>
    </row>
    <row r="47" spans="1:14" ht="33" customHeight="1" x14ac:dyDescent="0.25">
      <c r="A47" s="3">
        <v>9</v>
      </c>
      <c r="B47" s="139" t="str">
        <f>IF('0 AVAL'!B44 = "", "", '0 AVAL'!B44)</f>
        <v/>
      </c>
      <c r="C47" s="139" t="str">
        <f>IF('0 AVAL'!C44 = "", "", '0 AVAL'!C44)</f>
        <v/>
      </c>
      <c r="D47" s="121"/>
      <c r="E47" s="141" t="s">
        <v>90</v>
      </c>
      <c r="F47" s="286"/>
      <c r="G47" s="260"/>
      <c r="H47" s="141" t="s">
        <v>90</v>
      </c>
      <c r="I47" s="143"/>
      <c r="J47" s="141" t="s">
        <v>90</v>
      </c>
      <c r="K47" s="286"/>
      <c r="L47" s="184"/>
      <c r="M47" s="184"/>
      <c r="N47" s="260"/>
    </row>
    <row r="48" spans="1:14" ht="33" customHeight="1" x14ac:dyDescent="0.25">
      <c r="A48" s="3">
        <v>10</v>
      </c>
      <c r="B48" s="139" t="str">
        <f>IF('0 AVAL'!B45 = "", "", '0 AVAL'!B45)</f>
        <v/>
      </c>
      <c r="C48" s="139" t="str">
        <f>IF('0 AVAL'!C45 = "", "", '0 AVAL'!C45)</f>
        <v/>
      </c>
      <c r="D48" s="121"/>
      <c r="E48" s="141" t="s">
        <v>90</v>
      </c>
      <c r="F48" s="286"/>
      <c r="G48" s="260"/>
      <c r="H48" s="141" t="s">
        <v>90</v>
      </c>
      <c r="I48" s="143"/>
      <c r="J48" s="141" t="s">
        <v>90</v>
      </c>
      <c r="K48" s="286"/>
      <c r="L48" s="184"/>
      <c r="M48" s="184"/>
      <c r="N48" s="260"/>
    </row>
    <row r="49" spans="1:14" ht="33" customHeight="1" x14ac:dyDescent="0.25">
      <c r="A49" s="3">
        <v>11</v>
      </c>
      <c r="B49" s="139" t="str">
        <f>IF('0 AVAL'!B46 = "", "", '0 AVAL'!B46)</f>
        <v/>
      </c>
      <c r="C49" s="139" t="str">
        <f>IF('0 AVAL'!C46 = "", "", '0 AVAL'!C46)</f>
        <v/>
      </c>
      <c r="D49" s="121"/>
      <c r="E49" s="141" t="s">
        <v>90</v>
      </c>
      <c r="F49" s="286"/>
      <c r="G49" s="260"/>
      <c r="H49" s="141" t="s">
        <v>90</v>
      </c>
      <c r="I49" s="143"/>
      <c r="J49" s="141" t="s">
        <v>90</v>
      </c>
      <c r="K49" s="286"/>
      <c r="L49" s="184"/>
      <c r="M49" s="184"/>
      <c r="N49" s="260"/>
    </row>
    <row r="50" spans="1:14" ht="33" customHeight="1" x14ac:dyDescent="0.25">
      <c r="A50" s="3">
        <v>12</v>
      </c>
      <c r="B50" s="139" t="str">
        <f>IF('0 AVAL'!B47 = "", "", '0 AVAL'!B47)</f>
        <v/>
      </c>
      <c r="C50" s="139" t="str">
        <f>IF('0 AVAL'!C47 = "", "", '0 AVAL'!C47)</f>
        <v/>
      </c>
      <c r="D50" s="121"/>
      <c r="E50" s="141" t="s">
        <v>90</v>
      </c>
      <c r="F50" s="286"/>
      <c r="G50" s="260"/>
      <c r="H50" s="141" t="s">
        <v>90</v>
      </c>
      <c r="I50" s="143"/>
      <c r="J50" s="141" t="s">
        <v>90</v>
      </c>
      <c r="K50" s="286"/>
      <c r="L50" s="184"/>
      <c r="M50" s="184"/>
      <c r="N50" s="260"/>
    </row>
    <row r="51" spans="1:14" ht="33" customHeight="1" x14ac:dyDescent="0.25">
      <c r="A51" s="3">
        <v>13</v>
      </c>
      <c r="B51" s="139" t="str">
        <f>IF('0 AVAL'!B48 = "", "", '0 AVAL'!B48)</f>
        <v/>
      </c>
      <c r="C51" s="139" t="str">
        <f>IF('0 AVAL'!C48 = "", "", '0 AVAL'!C48)</f>
        <v/>
      </c>
      <c r="D51" s="121"/>
      <c r="E51" s="141" t="s">
        <v>90</v>
      </c>
      <c r="F51" s="286"/>
      <c r="G51" s="260"/>
      <c r="H51" s="141" t="s">
        <v>90</v>
      </c>
      <c r="I51" s="143"/>
      <c r="J51" s="141" t="s">
        <v>90</v>
      </c>
      <c r="K51" s="286"/>
      <c r="L51" s="184"/>
      <c r="M51" s="184"/>
      <c r="N51" s="260"/>
    </row>
    <row r="52" spans="1:14" ht="33" customHeight="1" x14ac:dyDescent="0.25">
      <c r="A52" s="3">
        <v>14</v>
      </c>
      <c r="B52" s="139" t="str">
        <f>IF('0 AVAL'!B49 = "", "", '0 AVAL'!B49)</f>
        <v/>
      </c>
      <c r="C52" s="139" t="str">
        <f>IF('0 AVAL'!C49 = "", "", '0 AVAL'!C49)</f>
        <v/>
      </c>
      <c r="D52" s="121"/>
      <c r="E52" s="141" t="s">
        <v>90</v>
      </c>
      <c r="F52" s="286"/>
      <c r="G52" s="260"/>
      <c r="H52" s="141" t="s">
        <v>90</v>
      </c>
      <c r="I52" s="143"/>
      <c r="J52" s="141" t="s">
        <v>90</v>
      </c>
      <c r="K52" s="286"/>
      <c r="L52" s="184"/>
      <c r="M52" s="184"/>
      <c r="N52" s="260"/>
    </row>
    <row r="53" spans="1:14" ht="33" customHeight="1" x14ac:dyDescent="0.25">
      <c r="A53" s="3">
        <v>15</v>
      </c>
      <c r="B53" s="139" t="str">
        <f>IF('0 AVAL'!B50 = "", "", '0 AVAL'!B50)</f>
        <v/>
      </c>
      <c r="C53" s="139" t="str">
        <f>IF('0 AVAL'!C50 = "", "", '0 AVAL'!C50)</f>
        <v/>
      </c>
      <c r="D53" s="121"/>
      <c r="E53" s="141" t="s">
        <v>90</v>
      </c>
      <c r="F53" s="286"/>
      <c r="G53" s="260"/>
      <c r="H53" s="141" t="s">
        <v>90</v>
      </c>
      <c r="I53" s="143"/>
      <c r="J53" s="141" t="s">
        <v>90</v>
      </c>
      <c r="K53" s="286"/>
      <c r="L53" s="184"/>
      <c r="M53" s="184"/>
      <c r="N53" s="260"/>
    </row>
    <row r="54" spans="1:14" ht="33" customHeight="1" x14ac:dyDescent="0.25">
      <c r="A54" s="3">
        <v>16</v>
      </c>
      <c r="B54" s="139" t="str">
        <f>IF('0 AVAL'!B51 = "", "", '0 AVAL'!B51)</f>
        <v/>
      </c>
      <c r="C54" s="139" t="str">
        <f>IF('0 AVAL'!C51 = "", "", '0 AVAL'!C51)</f>
        <v/>
      </c>
      <c r="D54" s="121"/>
      <c r="E54" s="141" t="s">
        <v>90</v>
      </c>
      <c r="F54" s="286"/>
      <c r="G54" s="260"/>
      <c r="H54" s="141" t="s">
        <v>90</v>
      </c>
      <c r="I54" s="143"/>
      <c r="J54" s="141" t="s">
        <v>90</v>
      </c>
      <c r="K54" s="286"/>
      <c r="L54" s="184"/>
      <c r="M54" s="184"/>
      <c r="N54" s="260"/>
    </row>
    <row r="55" spans="1:14" ht="33" customHeight="1" x14ac:dyDescent="0.25">
      <c r="A55" s="3">
        <v>17</v>
      </c>
      <c r="B55" s="139" t="str">
        <f>IF('0 AVAL'!B52 = "", "", '0 AVAL'!B52)</f>
        <v/>
      </c>
      <c r="C55" s="139" t="str">
        <f>IF('0 AVAL'!C52 = "", "", '0 AVAL'!C52)</f>
        <v/>
      </c>
      <c r="D55" s="121"/>
      <c r="E55" s="141" t="s">
        <v>90</v>
      </c>
      <c r="F55" s="286"/>
      <c r="G55" s="260"/>
      <c r="H55" s="141" t="s">
        <v>90</v>
      </c>
      <c r="I55" s="143"/>
      <c r="J55" s="141" t="s">
        <v>90</v>
      </c>
      <c r="K55" s="286"/>
      <c r="L55" s="184"/>
      <c r="M55" s="184"/>
      <c r="N55" s="260"/>
    </row>
    <row r="56" spans="1:14" ht="33" customHeight="1" x14ac:dyDescent="0.25">
      <c r="A56" s="3">
        <v>18</v>
      </c>
      <c r="B56" s="139" t="str">
        <f>IF('0 AVAL'!B53 = "", "", '0 AVAL'!B53)</f>
        <v/>
      </c>
      <c r="C56" s="139" t="str">
        <f>IF('0 AVAL'!C53 = "", "", '0 AVAL'!C53)</f>
        <v/>
      </c>
      <c r="D56" s="121"/>
      <c r="E56" s="141" t="s">
        <v>90</v>
      </c>
      <c r="F56" s="286"/>
      <c r="G56" s="260"/>
      <c r="H56" s="141" t="s">
        <v>90</v>
      </c>
      <c r="I56" s="143"/>
      <c r="J56" s="141" t="s">
        <v>90</v>
      </c>
      <c r="K56" s="286"/>
      <c r="L56" s="184"/>
      <c r="M56" s="184"/>
      <c r="N56" s="260"/>
    </row>
    <row r="57" spans="1:14" ht="33" customHeight="1" x14ac:dyDescent="0.25">
      <c r="A57" s="3">
        <v>19</v>
      </c>
      <c r="B57" s="139" t="str">
        <f>IF('0 AVAL'!B54 = "", "", '0 AVAL'!B54)</f>
        <v/>
      </c>
      <c r="C57" s="139" t="str">
        <f>IF('0 AVAL'!C54 = "", "", '0 AVAL'!C54)</f>
        <v/>
      </c>
      <c r="D57" s="121"/>
      <c r="E57" s="141" t="s">
        <v>90</v>
      </c>
      <c r="F57" s="286"/>
      <c r="G57" s="260"/>
      <c r="H57" s="141" t="s">
        <v>90</v>
      </c>
      <c r="I57" s="143"/>
      <c r="J57" s="141" t="s">
        <v>90</v>
      </c>
      <c r="K57" s="286"/>
      <c r="L57" s="184"/>
      <c r="M57" s="184"/>
      <c r="N57" s="260"/>
    </row>
    <row r="58" spans="1:14" ht="33" customHeight="1" x14ac:dyDescent="0.25">
      <c r="A58" s="3">
        <v>20</v>
      </c>
      <c r="B58" s="139" t="str">
        <f>IF('0 AVAL'!B55 = "", "", '0 AVAL'!B55)</f>
        <v/>
      </c>
      <c r="C58" s="139" t="str">
        <f>IF('0 AVAL'!C55 = "", "", '0 AVAL'!C55)</f>
        <v/>
      </c>
      <c r="D58" s="121"/>
      <c r="E58" s="141" t="s">
        <v>90</v>
      </c>
      <c r="F58" s="286"/>
      <c r="G58" s="260"/>
      <c r="H58" s="141" t="s">
        <v>90</v>
      </c>
      <c r="I58" s="143"/>
      <c r="J58" s="141" t="s">
        <v>90</v>
      </c>
      <c r="K58" s="286"/>
      <c r="L58" s="184"/>
      <c r="M58" s="184"/>
      <c r="N58" s="260"/>
    </row>
    <row r="59" spans="1:14" ht="33" customHeight="1" x14ac:dyDescent="0.25">
      <c r="A59" s="3">
        <v>21</v>
      </c>
      <c r="B59" s="139" t="str">
        <f>IF('0 AVAL'!B56 = "", "", '0 AVAL'!B56)</f>
        <v/>
      </c>
      <c r="C59" s="139" t="str">
        <f>IF('0 AVAL'!C56 = "", "", '0 AVAL'!C56)</f>
        <v/>
      </c>
      <c r="D59" s="121"/>
      <c r="E59" s="141" t="s">
        <v>90</v>
      </c>
      <c r="F59" s="286"/>
      <c r="G59" s="260"/>
      <c r="H59" s="141" t="s">
        <v>90</v>
      </c>
      <c r="I59" s="143"/>
      <c r="J59" s="141" t="s">
        <v>90</v>
      </c>
      <c r="K59" s="286"/>
      <c r="L59" s="184"/>
      <c r="M59" s="184"/>
      <c r="N59" s="260"/>
    </row>
    <row r="60" spans="1:14" ht="33" customHeight="1" x14ac:dyDescent="0.25">
      <c r="A60" s="3">
        <v>22</v>
      </c>
      <c r="B60" s="139" t="str">
        <f>IF('0 AVAL'!B57 = "", "", '0 AVAL'!B57)</f>
        <v/>
      </c>
      <c r="C60" s="139" t="str">
        <f>IF('0 AVAL'!C57 = "", "", '0 AVAL'!C57)</f>
        <v/>
      </c>
      <c r="D60" s="121"/>
      <c r="E60" s="141" t="s">
        <v>90</v>
      </c>
      <c r="F60" s="286"/>
      <c r="G60" s="260"/>
      <c r="H60" s="141" t="s">
        <v>90</v>
      </c>
      <c r="I60" s="143"/>
      <c r="J60" s="141" t="s">
        <v>90</v>
      </c>
      <c r="K60" s="286"/>
      <c r="L60" s="184"/>
      <c r="M60" s="184"/>
      <c r="N60" s="260"/>
    </row>
    <row r="61" spans="1:14" ht="33" customHeight="1" x14ac:dyDescent="0.25">
      <c r="A61" s="3">
        <v>23</v>
      </c>
      <c r="B61" s="139" t="str">
        <f>IF('0 AVAL'!B58 = "", "", '0 AVAL'!B58)</f>
        <v/>
      </c>
      <c r="C61" s="139" t="str">
        <f>IF('0 AVAL'!C58 = "", "", '0 AVAL'!C58)</f>
        <v/>
      </c>
      <c r="D61" s="121"/>
      <c r="E61" s="141" t="s">
        <v>90</v>
      </c>
      <c r="F61" s="286"/>
      <c r="G61" s="260"/>
      <c r="H61" s="141" t="s">
        <v>90</v>
      </c>
      <c r="I61" s="143"/>
      <c r="J61" s="141" t="s">
        <v>90</v>
      </c>
      <c r="K61" s="286"/>
      <c r="L61" s="184"/>
      <c r="M61" s="184"/>
      <c r="N61" s="260"/>
    </row>
    <row r="62" spans="1:14" ht="33" customHeight="1" x14ac:dyDescent="0.25">
      <c r="A62" s="3">
        <v>24</v>
      </c>
      <c r="B62" s="139" t="str">
        <f>IF('0 AVAL'!B59 = "", "", '0 AVAL'!B59)</f>
        <v/>
      </c>
      <c r="C62" s="139" t="str">
        <f>IF('0 AVAL'!C59 = "", "", '0 AVAL'!C59)</f>
        <v/>
      </c>
      <c r="D62" s="121"/>
      <c r="E62" s="141" t="s">
        <v>90</v>
      </c>
      <c r="F62" s="286"/>
      <c r="G62" s="260"/>
      <c r="H62" s="141" t="s">
        <v>90</v>
      </c>
      <c r="I62" s="143"/>
      <c r="J62" s="141" t="s">
        <v>90</v>
      </c>
      <c r="K62" s="286"/>
      <c r="L62" s="184"/>
      <c r="M62" s="184"/>
      <c r="N62" s="260"/>
    </row>
    <row r="63" spans="1:14" ht="33" customHeight="1" x14ac:dyDescent="0.25">
      <c r="A63" s="3">
        <v>25</v>
      </c>
      <c r="B63" s="139" t="str">
        <f>IF('0 AVAL'!B60 = "", "", '0 AVAL'!B60)</f>
        <v/>
      </c>
      <c r="C63" s="139" t="str">
        <f>IF('0 AVAL'!C60 = "", "", '0 AVAL'!C60)</f>
        <v/>
      </c>
      <c r="D63" s="121"/>
      <c r="E63" s="141" t="s">
        <v>90</v>
      </c>
      <c r="F63" s="286"/>
      <c r="G63" s="260"/>
      <c r="H63" s="141" t="s">
        <v>90</v>
      </c>
      <c r="I63" s="143"/>
      <c r="J63" s="141" t="s">
        <v>90</v>
      </c>
      <c r="K63" s="286"/>
      <c r="L63" s="184"/>
      <c r="M63" s="184"/>
      <c r="N63" s="260"/>
    </row>
    <row r="64" spans="1:14" ht="33" customHeight="1" x14ac:dyDescent="0.25">
      <c r="A64" s="3">
        <v>26</v>
      </c>
      <c r="B64" s="139" t="str">
        <f>IF('0 AVAL'!B61 = "", "", '0 AVAL'!B61)</f>
        <v/>
      </c>
      <c r="C64" s="139" t="str">
        <f>IF('0 AVAL'!C61 = "", "", '0 AVAL'!C61)</f>
        <v/>
      </c>
      <c r="D64" s="121"/>
      <c r="E64" s="141" t="s">
        <v>90</v>
      </c>
      <c r="F64" s="286"/>
      <c r="G64" s="260"/>
      <c r="H64" s="141" t="s">
        <v>90</v>
      </c>
      <c r="I64" s="143"/>
      <c r="J64" s="141" t="s">
        <v>90</v>
      </c>
      <c r="K64" s="286"/>
      <c r="L64" s="184"/>
      <c r="M64" s="184"/>
      <c r="N64" s="260"/>
    </row>
    <row r="65" spans="1:14" ht="33" customHeight="1" x14ac:dyDescent="0.25">
      <c r="A65" s="3">
        <v>27</v>
      </c>
      <c r="B65" s="139" t="str">
        <f>IF('0 AVAL'!B62 = "", "", '0 AVAL'!B62)</f>
        <v/>
      </c>
      <c r="C65" s="139" t="str">
        <f>IF('0 AVAL'!C62 = "", "", '0 AVAL'!C62)</f>
        <v/>
      </c>
      <c r="D65" s="121"/>
      <c r="E65" s="141" t="s">
        <v>90</v>
      </c>
      <c r="F65" s="286"/>
      <c r="G65" s="260"/>
      <c r="H65" s="141" t="s">
        <v>90</v>
      </c>
      <c r="I65" s="143"/>
      <c r="J65" s="141" t="s">
        <v>90</v>
      </c>
      <c r="K65" s="286"/>
      <c r="L65" s="184"/>
      <c r="M65" s="184"/>
      <c r="N65" s="260"/>
    </row>
    <row r="66" spans="1:14" ht="33" customHeight="1" x14ac:dyDescent="0.25">
      <c r="A66" s="3">
        <v>28</v>
      </c>
      <c r="B66" s="139" t="str">
        <f>IF('0 AVAL'!B63 = "", "", '0 AVAL'!B63)</f>
        <v/>
      </c>
      <c r="C66" s="139" t="str">
        <f>IF('0 AVAL'!C63 = "", "", '0 AVAL'!C63)</f>
        <v/>
      </c>
      <c r="D66" s="121"/>
      <c r="E66" s="141" t="s">
        <v>90</v>
      </c>
      <c r="F66" s="286"/>
      <c r="G66" s="260"/>
      <c r="H66" s="141" t="s">
        <v>90</v>
      </c>
      <c r="I66" s="143"/>
      <c r="J66" s="141" t="s">
        <v>90</v>
      </c>
      <c r="K66" s="286"/>
      <c r="L66" s="184"/>
      <c r="M66" s="184"/>
      <c r="N66" s="260"/>
    </row>
    <row r="67" spans="1:14" ht="33" customHeight="1" x14ac:dyDescent="0.25">
      <c r="A67" s="3">
        <v>29</v>
      </c>
      <c r="B67" s="139" t="str">
        <f>IF('0 AVAL'!B64 = "", "", '0 AVAL'!B64)</f>
        <v/>
      </c>
      <c r="C67" s="139" t="str">
        <f>IF('0 AVAL'!C64 = "", "", '0 AVAL'!C64)</f>
        <v/>
      </c>
      <c r="D67" s="121"/>
      <c r="E67" s="141" t="s">
        <v>90</v>
      </c>
      <c r="F67" s="286"/>
      <c r="G67" s="260"/>
      <c r="H67" s="141" t="s">
        <v>90</v>
      </c>
      <c r="I67" s="143"/>
      <c r="J67" s="141" t="s">
        <v>90</v>
      </c>
      <c r="K67" s="286"/>
      <c r="L67" s="184"/>
      <c r="M67" s="184"/>
      <c r="N67" s="260"/>
    </row>
    <row r="68" spans="1:14" ht="33" customHeight="1" x14ac:dyDescent="0.25">
      <c r="A68" s="3">
        <v>30</v>
      </c>
      <c r="B68" s="139" t="str">
        <f>IF('0 AVAL'!B65 = "", "", '0 AVAL'!B65)</f>
        <v/>
      </c>
      <c r="C68" s="139" t="str">
        <f>IF('0 AVAL'!C65 = "", "", '0 AVAL'!C65)</f>
        <v/>
      </c>
      <c r="D68" s="121"/>
      <c r="E68" s="141" t="s">
        <v>90</v>
      </c>
      <c r="F68" s="286"/>
      <c r="G68" s="260"/>
      <c r="H68" s="141" t="s">
        <v>90</v>
      </c>
      <c r="I68" s="143"/>
      <c r="J68" s="141" t="s">
        <v>90</v>
      </c>
      <c r="K68" s="286"/>
      <c r="L68" s="184"/>
      <c r="M68" s="184"/>
      <c r="N68" s="260"/>
    </row>
    <row r="69" spans="1:14" ht="33" customHeight="1" x14ac:dyDescent="0.25">
      <c r="A69" s="3">
        <v>31</v>
      </c>
      <c r="B69" s="139" t="str">
        <f>IF('0 AVAL'!B66 = "", "", '0 AVAL'!B66)</f>
        <v/>
      </c>
      <c r="C69" s="139" t="str">
        <f>IF('0 AVAL'!C66 = "", "", '0 AVAL'!C66)</f>
        <v/>
      </c>
      <c r="D69" s="121"/>
      <c r="E69" s="141" t="s">
        <v>90</v>
      </c>
      <c r="F69" s="286"/>
      <c r="G69" s="260"/>
      <c r="H69" s="141" t="s">
        <v>90</v>
      </c>
      <c r="I69" s="143"/>
      <c r="J69" s="141" t="s">
        <v>90</v>
      </c>
      <c r="K69" s="286"/>
      <c r="L69" s="184"/>
      <c r="M69" s="184"/>
      <c r="N69" s="260"/>
    </row>
    <row r="70" spans="1:14" ht="33" customHeight="1" x14ac:dyDescent="0.25">
      <c r="A70" s="3">
        <v>32</v>
      </c>
      <c r="B70" s="139" t="str">
        <f>IF('0 AVAL'!B67 = "", "", '0 AVAL'!B67)</f>
        <v/>
      </c>
      <c r="C70" s="139" t="str">
        <f>IF('0 AVAL'!C67 = "", "", '0 AVAL'!C67)</f>
        <v/>
      </c>
      <c r="D70" s="121"/>
      <c r="E70" s="141" t="s">
        <v>90</v>
      </c>
      <c r="F70" s="286"/>
      <c r="G70" s="260"/>
      <c r="H70" s="141" t="s">
        <v>90</v>
      </c>
      <c r="I70" s="143"/>
      <c r="J70" s="141" t="s">
        <v>90</v>
      </c>
      <c r="K70" s="286"/>
      <c r="L70" s="184"/>
      <c r="M70" s="184"/>
      <c r="N70" s="260"/>
    </row>
    <row r="71" spans="1:14" ht="33" customHeight="1" x14ac:dyDescent="0.25">
      <c r="A71" s="3">
        <v>33</v>
      </c>
      <c r="B71" s="139" t="str">
        <f>IF('0 AVAL'!B68 = "", "", '0 AVAL'!B68)</f>
        <v/>
      </c>
      <c r="C71" s="139" t="str">
        <f>IF('0 AVAL'!C68 = "", "", '0 AVAL'!C68)</f>
        <v/>
      </c>
      <c r="D71" s="121"/>
      <c r="E71" s="141" t="s">
        <v>90</v>
      </c>
      <c r="F71" s="286"/>
      <c r="G71" s="260"/>
      <c r="H71" s="141" t="s">
        <v>90</v>
      </c>
      <c r="I71" s="143"/>
      <c r="J71" s="141" t="s">
        <v>90</v>
      </c>
      <c r="K71" s="286"/>
      <c r="L71" s="184"/>
      <c r="M71" s="184"/>
      <c r="N71" s="260"/>
    </row>
    <row r="72" spans="1:14" ht="33" customHeight="1" x14ac:dyDescent="0.25">
      <c r="A72" s="3">
        <v>34</v>
      </c>
      <c r="B72" s="139" t="str">
        <f>IF('0 AVAL'!B69 = "", "", '0 AVAL'!B69)</f>
        <v/>
      </c>
      <c r="C72" s="139" t="str">
        <f>IF('0 AVAL'!C69 = "", "", '0 AVAL'!C69)</f>
        <v/>
      </c>
      <c r="D72" s="121"/>
      <c r="E72" s="141" t="s">
        <v>90</v>
      </c>
      <c r="F72" s="286"/>
      <c r="G72" s="260"/>
      <c r="H72" s="141" t="s">
        <v>90</v>
      </c>
      <c r="I72" s="143"/>
      <c r="J72" s="141" t="s">
        <v>90</v>
      </c>
      <c r="K72" s="286"/>
      <c r="L72" s="184"/>
      <c r="M72" s="184"/>
      <c r="N72" s="260"/>
    </row>
    <row r="73" spans="1:14" ht="33" customHeight="1" x14ac:dyDescent="0.25">
      <c r="A73" s="3">
        <v>35</v>
      </c>
      <c r="B73" s="139" t="str">
        <f>IF('0 AVAL'!B70 = "", "", '0 AVAL'!B70)</f>
        <v/>
      </c>
      <c r="C73" s="139" t="str">
        <f>IF('0 AVAL'!C70 = "", "", '0 AVAL'!C70)</f>
        <v/>
      </c>
      <c r="D73" s="121"/>
      <c r="E73" s="141" t="s">
        <v>90</v>
      </c>
      <c r="F73" s="286"/>
      <c r="G73" s="260"/>
      <c r="H73" s="141" t="s">
        <v>90</v>
      </c>
      <c r="I73" s="143"/>
      <c r="J73" s="141" t="s">
        <v>90</v>
      </c>
      <c r="K73" s="286"/>
      <c r="L73" s="184"/>
      <c r="M73" s="184"/>
      <c r="N73" s="260"/>
    </row>
    <row r="74" spans="1:14" ht="33" customHeight="1" x14ac:dyDescent="0.25">
      <c r="A74" s="3">
        <v>36</v>
      </c>
      <c r="B74" s="139" t="str">
        <f>IF('0 AVAL'!B71 = "", "", '0 AVAL'!B71)</f>
        <v/>
      </c>
      <c r="C74" s="139" t="str">
        <f>IF('0 AVAL'!C71 = "", "", '0 AVAL'!C71)</f>
        <v/>
      </c>
      <c r="D74" s="121"/>
      <c r="E74" s="141" t="s">
        <v>90</v>
      </c>
      <c r="F74" s="286"/>
      <c r="G74" s="260"/>
      <c r="H74" s="141" t="s">
        <v>90</v>
      </c>
      <c r="I74" s="143"/>
      <c r="J74" s="141" t="s">
        <v>90</v>
      </c>
      <c r="K74" s="286"/>
      <c r="L74" s="184"/>
      <c r="M74" s="184"/>
      <c r="N74" s="260"/>
    </row>
    <row r="75" spans="1:14" ht="33" customHeight="1" x14ac:dyDescent="0.25">
      <c r="A75" s="3">
        <v>37</v>
      </c>
      <c r="B75" s="139" t="str">
        <f>IF('0 AVAL'!B72 = "", "", '0 AVAL'!B72)</f>
        <v/>
      </c>
      <c r="C75" s="139" t="str">
        <f>IF('0 AVAL'!C72 = "", "", '0 AVAL'!C72)</f>
        <v/>
      </c>
      <c r="D75" s="121"/>
      <c r="E75" s="141" t="s">
        <v>90</v>
      </c>
      <c r="F75" s="286"/>
      <c r="G75" s="260"/>
      <c r="H75" s="141" t="s">
        <v>90</v>
      </c>
      <c r="I75" s="143"/>
      <c r="J75" s="141" t="s">
        <v>90</v>
      </c>
      <c r="K75" s="286"/>
      <c r="L75" s="184"/>
      <c r="M75" s="184"/>
      <c r="N75" s="260"/>
    </row>
    <row r="76" spans="1:14" ht="33" customHeight="1" x14ac:dyDescent="0.25">
      <c r="A76" s="3">
        <v>38</v>
      </c>
      <c r="B76" s="139" t="str">
        <f>IF('0 AVAL'!B73 = "", "", '0 AVAL'!B73)</f>
        <v/>
      </c>
      <c r="C76" s="139" t="str">
        <f>IF('0 AVAL'!C73 = "", "", '0 AVAL'!C73)</f>
        <v/>
      </c>
      <c r="D76" s="121"/>
      <c r="E76" s="141" t="s">
        <v>90</v>
      </c>
      <c r="F76" s="286"/>
      <c r="G76" s="260"/>
      <c r="H76" s="141" t="s">
        <v>90</v>
      </c>
      <c r="I76" s="143"/>
      <c r="J76" s="141" t="s">
        <v>90</v>
      </c>
      <c r="K76" s="286"/>
      <c r="L76" s="184"/>
      <c r="M76" s="184"/>
      <c r="N76" s="260"/>
    </row>
    <row r="77" spans="1:14" ht="33" customHeight="1" x14ac:dyDescent="0.25">
      <c r="A77" s="3">
        <v>39</v>
      </c>
      <c r="B77" s="139" t="str">
        <f>IF('0 AVAL'!B74 = "", "", '0 AVAL'!B74)</f>
        <v/>
      </c>
      <c r="C77" s="139" t="str">
        <f>IF('0 AVAL'!C74 = "", "", '0 AVAL'!C74)</f>
        <v/>
      </c>
      <c r="D77" s="121"/>
      <c r="E77" s="141" t="s">
        <v>90</v>
      </c>
      <c r="F77" s="286"/>
      <c r="G77" s="260"/>
      <c r="H77" s="141" t="s">
        <v>90</v>
      </c>
      <c r="I77" s="143"/>
      <c r="J77" s="141" t="s">
        <v>90</v>
      </c>
      <c r="K77" s="286"/>
      <c r="L77" s="184"/>
      <c r="M77" s="184"/>
      <c r="N77" s="260"/>
    </row>
    <row r="78" spans="1:14" ht="33" customHeight="1" x14ac:dyDescent="0.25">
      <c r="A78" s="3">
        <v>40</v>
      </c>
      <c r="B78" s="139" t="str">
        <f>IF('0 AVAL'!B75 = "", "", '0 AVAL'!B75)</f>
        <v/>
      </c>
      <c r="C78" s="139" t="str">
        <f>IF('0 AVAL'!C75 = "", "", '0 AVAL'!C75)</f>
        <v/>
      </c>
      <c r="D78" s="121"/>
      <c r="E78" s="141" t="s">
        <v>90</v>
      </c>
      <c r="F78" s="286"/>
      <c r="G78" s="260"/>
      <c r="H78" s="141" t="s">
        <v>90</v>
      </c>
      <c r="I78" s="143"/>
      <c r="J78" s="141" t="s">
        <v>90</v>
      </c>
      <c r="K78" s="286"/>
      <c r="L78" s="184"/>
      <c r="M78" s="184"/>
      <c r="N78" s="260"/>
    </row>
    <row r="79" spans="1:14" ht="16.149999999999999" customHeight="1" thickBot="1" x14ac:dyDescent="0.3"/>
    <row r="80" spans="1:14" s="13" customFormat="1" ht="21.4" customHeight="1" thickBot="1" x14ac:dyDescent="0.3">
      <c r="B80" s="229" t="s">
        <v>64</v>
      </c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1"/>
    </row>
    <row r="81" spans="1:14" x14ac:dyDescent="0.25">
      <c r="B81" s="2"/>
      <c r="C81" s="2"/>
      <c r="D81" s="2"/>
      <c r="E81" s="2"/>
      <c r="F81" s="2"/>
      <c r="G81" s="2"/>
      <c r="H81" s="2"/>
      <c r="I81" s="2"/>
      <c r="J81" s="61" t="s">
        <v>65</v>
      </c>
      <c r="K81" s="252" t="s">
        <v>66</v>
      </c>
      <c r="L81" s="209"/>
      <c r="M81" s="209"/>
      <c r="N81" s="209"/>
    </row>
    <row r="82" spans="1:14" x14ac:dyDescent="0.25">
      <c r="A82" s="62">
        <v>1</v>
      </c>
      <c r="B82" s="223"/>
      <c r="C82" s="172"/>
      <c r="D82" s="172"/>
      <c r="E82" s="172"/>
      <c r="F82" s="172"/>
      <c r="G82" s="172"/>
      <c r="H82" s="172"/>
      <c r="I82" s="172"/>
      <c r="J82" s="144"/>
      <c r="K82" s="288"/>
      <c r="L82" s="172"/>
      <c r="M82" s="172"/>
      <c r="N82" s="172"/>
    </row>
    <row r="83" spans="1:14" x14ac:dyDescent="0.25">
      <c r="A83" s="62">
        <v>2</v>
      </c>
      <c r="B83" s="224"/>
      <c r="C83" s="193"/>
      <c r="D83" s="193"/>
      <c r="E83" s="193"/>
      <c r="F83" s="193"/>
      <c r="G83" s="193"/>
      <c r="H83" s="193"/>
      <c r="I83" s="193"/>
      <c r="J83" s="144"/>
      <c r="K83" s="288"/>
      <c r="L83" s="172"/>
      <c r="M83" s="172"/>
      <c r="N83" s="172"/>
    </row>
    <row r="84" spans="1:14" x14ac:dyDescent="0.25">
      <c r="A84" s="62">
        <v>3</v>
      </c>
      <c r="B84" s="224"/>
      <c r="C84" s="193"/>
      <c r="D84" s="193"/>
      <c r="E84" s="193"/>
      <c r="F84" s="193"/>
      <c r="G84" s="193"/>
      <c r="H84" s="193"/>
      <c r="I84" s="193"/>
      <c r="J84" s="144"/>
      <c r="K84" s="288"/>
      <c r="L84" s="172"/>
      <c r="M84" s="172"/>
      <c r="N84" s="172"/>
    </row>
    <row r="85" spans="1:14" x14ac:dyDescent="0.25">
      <c r="A85" s="62">
        <v>4</v>
      </c>
      <c r="B85" s="224"/>
      <c r="C85" s="193"/>
      <c r="D85" s="193"/>
      <c r="E85" s="193"/>
      <c r="F85" s="193"/>
      <c r="G85" s="193"/>
      <c r="H85" s="193"/>
      <c r="I85" s="193"/>
      <c r="J85" s="144"/>
      <c r="K85" s="288"/>
      <c r="L85" s="172"/>
      <c r="M85" s="172"/>
      <c r="N85" s="172"/>
    </row>
    <row r="86" spans="1:14" x14ac:dyDescent="0.25">
      <c r="A86" s="62">
        <v>5</v>
      </c>
      <c r="B86" s="224"/>
      <c r="C86" s="193"/>
      <c r="D86" s="193"/>
      <c r="E86" s="193"/>
      <c r="F86" s="193"/>
      <c r="G86" s="193"/>
      <c r="H86" s="193"/>
      <c r="I86" s="193"/>
      <c r="J86" s="144"/>
      <c r="K86" s="288"/>
      <c r="L86" s="172"/>
      <c r="M86" s="172"/>
      <c r="N86" s="172"/>
    </row>
    <row r="87" spans="1:14" x14ac:dyDescent="0.25">
      <c r="A87" s="62">
        <v>6</v>
      </c>
      <c r="B87" s="224"/>
      <c r="C87" s="193"/>
      <c r="D87" s="193"/>
      <c r="E87" s="193"/>
      <c r="F87" s="193"/>
      <c r="G87" s="193"/>
      <c r="H87" s="193"/>
      <c r="I87" s="193"/>
      <c r="J87" s="144"/>
      <c r="K87" s="288"/>
      <c r="L87" s="172"/>
      <c r="M87" s="172"/>
      <c r="N87" s="172"/>
    </row>
    <row r="88" spans="1:14" ht="16.149999999999999" customHeight="1" thickBot="1" x14ac:dyDescent="0.3">
      <c r="A88" s="62">
        <v>7</v>
      </c>
      <c r="B88" s="228"/>
      <c r="C88" s="206"/>
      <c r="D88" s="206"/>
      <c r="E88" s="206"/>
      <c r="F88" s="206"/>
      <c r="G88" s="206"/>
      <c r="H88" s="206"/>
      <c r="I88" s="206"/>
      <c r="J88" s="145"/>
      <c r="K88" s="293"/>
      <c r="L88" s="196"/>
      <c r="M88" s="196"/>
      <c r="N88" s="196"/>
    </row>
    <row r="89" spans="1:14" ht="16.149999999999999" customHeight="1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s="13" customFormat="1" ht="21.4" customHeight="1" thickBot="1" x14ac:dyDescent="0.3">
      <c r="B90" s="229" t="s">
        <v>67</v>
      </c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1"/>
    </row>
    <row r="91" spans="1:14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s="5" customFormat="1" ht="30.75" customHeight="1" x14ac:dyDescent="0.25">
      <c r="A92" s="105">
        <v>1</v>
      </c>
      <c r="B92" s="219" t="str">
        <f>IF(ACORDS!E33 = "", "", ACORDS!E33)</f>
        <v/>
      </c>
      <c r="C92" s="172"/>
      <c r="D92" s="172"/>
      <c r="E92" s="172"/>
      <c r="F92" s="172"/>
      <c r="G92" s="172"/>
      <c r="H92" s="172"/>
      <c r="I92" s="172"/>
      <c r="J92" s="227" t="s">
        <v>52</v>
      </c>
      <c r="K92" s="200"/>
      <c r="L92" s="200"/>
      <c r="M92" s="200"/>
      <c r="N92" s="201"/>
    </row>
    <row r="93" spans="1:14" s="5" customFormat="1" ht="30.75" customHeight="1" x14ac:dyDescent="0.25">
      <c r="A93" s="105">
        <v>2</v>
      </c>
      <c r="B93" s="219" t="str">
        <f>IF(ACORDS!E34 = "", "", ACORDS!E34)</f>
        <v/>
      </c>
      <c r="C93" s="172"/>
      <c r="D93" s="172"/>
      <c r="E93" s="172"/>
      <c r="F93" s="172"/>
      <c r="G93" s="172"/>
      <c r="H93" s="172"/>
      <c r="I93" s="172"/>
      <c r="J93" s="202"/>
      <c r="K93" s="267"/>
      <c r="L93" s="267"/>
      <c r="M93" s="267"/>
      <c r="N93" s="204"/>
    </row>
    <row r="94" spans="1:14" s="5" customFormat="1" ht="30.75" customHeight="1" x14ac:dyDescent="0.25">
      <c r="A94" s="105">
        <v>3</v>
      </c>
      <c r="B94" s="219" t="str">
        <f>IF(ACORDS!E35 = "", "", ACORDS!E35)</f>
        <v/>
      </c>
      <c r="C94" s="172"/>
      <c r="D94" s="172"/>
      <c r="E94" s="172"/>
      <c r="F94" s="172"/>
      <c r="G94" s="172"/>
      <c r="H94" s="172"/>
      <c r="I94" s="172"/>
      <c r="J94" s="202"/>
      <c r="K94" s="267"/>
      <c r="L94" s="267"/>
      <c r="M94" s="267"/>
      <c r="N94" s="204"/>
    </row>
    <row r="95" spans="1:14" s="5" customFormat="1" ht="30.75" customHeight="1" x14ac:dyDescent="0.25">
      <c r="A95" s="105">
        <v>4</v>
      </c>
      <c r="B95" s="219" t="str">
        <f>IF(ACORDS!E36 = "", "", ACORDS!E36)</f>
        <v/>
      </c>
      <c r="C95" s="172"/>
      <c r="D95" s="172"/>
      <c r="E95" s="172"/>
      <c r="F95" s="172"/>
      <c r="G95" s="172"/>
      <c r="H95" s="172"/>
      <c r="I95" s="172"/>
      <c r="J95" s="202"/>
      <c r="K95" s="267"/>
      <c r="L95" s="267"/>
      <c r="M95" s="267"/>
      <c r="N95" s="204"/>
    </row>
    <row r="96" spans="1:14" s="5" customFormat="1" ht="30.75" customHeight="1" x14ac:dyDescent="0.25">
      <c r="A96" s="105">
        <v>5</v>
      </c>
      <c r="B96" s="219" t="str">
        <f>IF(ACORDS!E37 = "", "", ACORDS!E37)</f>
        <v/>
      </c>
      <c r="C96" s="172"/>
      <c r="D96" s="172"/>
      <c r="E96" s="172"/>
      <c r="F96" s="172"/>
      <c r="G96" s="172"/>
      <c r="H96" s="172"/>
      <c r="I96" s="172"/>
      <c r="J96" s="202"/>
      <c r="K96" s="267"/>
      <c r="L96" s="267"/>
      <c r="M96" s="267"/>
      <c r="N96" s="204"/>
    </row>
    <row r="97" spans="1:14" s="5" customFormat="1" ht="30.75" customHeight="1" x14ac:dyDescent="0.25">
      <c r="A97" s="105">
        <v>6</v>
      </c>
      <c r="B97" s="219" t="str">
        <f>IF(ACORDS!E38 = "", "", ACORDS!E38)</f>
        <v/>
      </c>
      <c r="C97" s="172"/>
      <c r="D97" s="172"/>
      <c r="E97" s="172"/>
      <c r="F97" s="172"/>
      <c r="G97" s="172"/>
      <c r="H97" s="172"/>
      <c r="I97" s="172"/>
      <c r="J97" s="202"/>
      <c r="K97" s="267"/>
      <c r="L97" s="267"/>
      <c r="M97" s="267"/>
      <c r="N97" s="204"/>
    </row>
    <row r="98" spans="1:14" s="5" customFormat="1" ht="30.75" customHeight="1" thickBot="1" x14ac:dyDescent="0.3">
      <c r="A98" s="105">
        <v>7</v>
      </c>
      <c r="B98" s="219" t="str">
        <f>IF(ACORDS!E39 = "", "", ACORDS!E39)</f>
        <v/>
      </c>
      <c r="C98" s="172"/>
      <c r="D98" s="172"/>
      <c r="E98" s="172"/>
      <c r="F98" s="172"/>
      <c r="G98" s="172"/>
      <c r="H98" s="172"/>
      <c r="I98" s="172"/>
      <c r="J98" s="205"/>
      <c r="K98" s="206"/>
      <c r="L98" s="206"/>
      <c r="M98" s="206"/>
      <c r="N98" s="207"/>
    </row>
    <row r="99" spans="1:14" ht="50.25" customHeight="1" x14ac:dyDescent="0.25">
      <c r="B99" s="232" t="s">
        <v>53</v>
      </c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</sheetData>
  <mergeCells count="136">
    <mergeCell ref="B96:I96"/>
    <mergeCell ref="B36:N36"/>
    <mergeCell ref="J92:N98"/>
    <mergeCell ref="K62:N62"/>
    <mergeCell ref="K49:N49"/>
    <mergeCell ref="B98:I98"/>
    <mergeCell ref="J5:M5"/>
    <mergeCell ref="F70:G70"/>
    <mergeCell ref="B88:I88"/>
    <mergeCell ref="G2:G6"/>
    <mergeCell ref="B82:I82"/>
    <mergeCell ref="B15:M15"/>
    <mergeCell ref="K88:N88"/>
    <mergeCell ref="F72:G72"/>
    <mergeCell ref="G33:K33"/>
    <mergeCell ref="K76:N76"/>
    <mergeCell ref="K58:N58"/>
    <mergeCell ref="K67:N67"/>
    <mergeCell ref="J4:M4"/>
    <mergeCell ref="B85:I85"/>
    <mergeCell ref="F57:G57"/>
    <mergeCell ref="F54:G54"/>
    <mergeCell ref="K39:N39"/>
    <mergeCell ref="F63:G63"/>
    <mergeCell ref="F73:G73"/>
    <mergeCell ref="K42:N42"/>
    <mergeCell ref="J3:M3"/>
    <mergeCell ref="K82:N82"/>
    <mergeCell ref="G27:K27"/>
    <mergeCell ref="B24:N24"/>
    <mergeCell ref="B80:N80"/>
    <mergeCell ref="G29:K29"/>
    <mergeCell ref="K40:N40"/>
    <mergeCell ref="B9:N9"/>
    <mergeCell ref="K53:N53"/>
    <mergeCell ref="B17:M17"/>
    <mergeCell ref="F74:G74"/>
    <mergeCell ref="F39:G39"/>
    <mergeCell ref="F48:G48"/>
    <mergeCell ref="K56:N56"/>
    <mergeCell ref="B99:N99"/>
    <mergeCell ref="F69:G69"/>
    <mergeCell ref="F78:G78"/>
    <mergeCell ref="F65:G65"/>
    <mergeCell ref="K73:N73"/>
    <mergeCell ref="B14:M14"/>
    <mergeCell ref="F40:G40"/>
    <mergeCell ref="B20:N20"/>
    <mergeCell ref="K57:N57"/>
    <mergeCell ref="K66:N66"/>
    <mergeCell ref="F59:G59"/>
    <mergeCell ref="F55:G55"/>
    <mergeCell ref="F51:G51"/>
    <mergeCell ref="K68:N68"/>
    <mergeCell ref="F41:G41"/>
    <mergeCell ref="G34:K34"/>
    <mergeCell ref="F38:G38"/>
    <mergeCell ref="K87:N87"/>
    <mergeCell ref="F76:G76"/>
    <mergeCell ref="F45:G45"/>
    <mergeCell ref="G28:K28"/>
    <mergeCell ref="F42:G42"/>
    <mergeCell ref="F66:G66"/>
    <mergeCell ref="K81:N81"/>
    <mergeCell ref="B87:I87"/>
    <mergeCell ref="K51:N51"/>
    <mergeCell ref="F46:G46"/>
    <mergeCell ref="K72:N72"/>
    <mergeCell ref="K63:N63"/>
    <mergeCell ref="K41:N41"/>
    <mergeCell ref="J7:M7"/>
    <mergeCell ref="F44:G44"/>
    <mergeCell ref="B97:I97"/>
    <mergeCell ref="F61:G61"/>
    <mergeCell ref="K50:N50"/>
    <mergeCell ref="K84:N84"/>
    <mergeCell ref="K75:N75"/>
    <mergeCell ref="K59:N59"/>
    <mergeCell ref="B11:M11"/>
    <mergeCell ref="K48:N48"/>
    <mergeCell ref="F68:G68"/>
    <mergeCell ref="K38:N38"/>
    <mergeCell ref="K65:N65"/>
    <mergeCell ref="G32:K32"/>
    <mergeCell ref="K43:N43"/>
    <mergeCell ref="K61:N61"/>
    <mergeCell ref="K70:N70"/>
    <mergeCell ref="K83:N83"/>
    <mergeCell ref="K86:N86"/>
    <mergeCell ref="B18:M18"/>
    <mergeCell ref="J6:M6"/>
    <mergeCell ref="K44:N44"/>
    <mergeCell ref="F56:G56"/>
    <mergeCell ref="F71:G71"/>
    <mergeCell ref="F43:G43"/>
    <mergeCell ref="B83:I83"/>
    <mergeCell ref="B2:C6"/>
    <mergeCell ref="F75:G75"/>
    <mergeCell ref="F47:G47"/>
    <mergeCell ref="F62:G62"/>
    <mergeCell ref="G30:K30"/>
    <mergeCell ref="K64:N64"/>
    <mergeCell ref="D2:F6"/>
    <mergeCell ref="F50:G50"/>
    <mergeCell ref="B86:I86"/>
    <mergeCell ref="K69:N69"/>
    <mergeCell ref="K78:N78"/>
    <mergeCell ref="F60:G60"/>
    <mergeCell ref="K77:N77"/>
    <mergeCell ref="J2:N2"/>
    <mergeCell ref="K52:N52"/>
    <mergeCell ref="F64:G64"/>
    <mergeCell ref="B95:I95"/>
    <mergeCell ref="B22:M22"/>
    <mergeCell ref="F49:G49"/>
    <mergeCell ref="G31:K31"/>
    <mergeCell ref="K71:N71"/>
    <mergeCell ref="B12:M12"/>
    <mergeCell ref="K45:N45"/>
    <mergeCell ref="K54:N54"/>
    <mergeCell ref="K55:N55"/>
    <mergeCell ref="K47:N47"/>
    <mergeCell ref="F77:G77"/>
    <mergeCell ref="K46:N46"/>
    <mergeCell ref="K60:N60"/>
    <mergeCell ref="K85:N85"/>
    <mergeCell ref="F58:G58"/>
    <mergeCell ref="B84:I84"/>
    <mergeCell ref="F52:G52"/>
    <mergeCell ref="F67:G67"/>
    <mergeCell ref="B92:I92"/>
    <mergeCell ref="B93:I93"/>
    <mergeCell ref="F53:G53"/>
    <mergeCell ref="K74:N74"/>
    <mergeCell ref="B90:N90"/>
    <mergeCell ref="B94:I94"/>
  </mergeCells>
  <conditionalFormatting sqref="E39:E78">
    <cfRule type="cellIs" dxfId="10" priority="6" operator="equal">
      <formula>"Sí"</formula>
    </cfRule>
  </conditionalFormatting>
  <conditionalFormatting sqref="H39:H78">
    <cfRule type="cellIs" dxfId="9" priority="1" operator="equal">
      <formula>"Sí"</formula>
    </cfRule>
  </conditionalFormatting>
  <conditionalFormatting sqref="J82:J88">
    <cfRule type="containsText" dxfId="8" priority="2" operator="containsText" text="No">
      <formula>NOT(ISERROR(SEARCH("No",J82)))</formula>
    </cfRule>
    <cfRule type="containsText" dxfId="7" priority="3" operator="containsText" text="Procés">
      <formula>NOT(ISERROR(SEARCH("Procés",J82)))</formula>
    </cfRule>
    <cfRule type="containsText" dxfId="6" priority="4" operator="containsText" text="Fet">
      <formula>NOT(ISERROR(SEARCH("Fet",J82)))</formula>
    </cfRule>
  </conditionalFormatting>
  <dataValidations count="2">
    <dataValidation allowBlank="1" showInputMessage="1" showErrorMessage="1" sqref="J6:M6" xr:uid="{00000000-0002-0000-0700-000000000000}"/>
    <dataValidation type="date" allowBlank="1" showInputMessage="1" showErrorMessage="1" sqref="J7:M7" xr:uid="{00000000-0002-0000-0700-000001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FY84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28515625" style="1" customWidth="1"/>
    <col min="2" max="2" width="21.7109375" style="1" customWidth="1"/>
    <col min="3" max="3" width="25.28515625" style="1" customWidth="1"/>
    <col min="4" max="8" width="12.5703125" style="1" customWidth="1"/>
    <col min="9" max="9" width="15.42578125" style="1" customWidth="1"/>
    <col min="10" max="11" width="15.85546875" style="1" customWidth="1"/>
    <col min="12" max="14" width="12.5703125" style="1" customWidth="1"/>
    <col min="15" max="22" width="0" style="1" hidden="1"/>
    <col min="23" max="181" width="4.42578125" style="1" hidden="1" customWidth="1"/>
    <col min="182" max="16383" width="0" style="1" hidden="1"/>
    <col min="16384" max="16384" width="4.7109375" style="1" customWidth="1"/>
  </cols>
  <sheetData>
    <row r="1" spans="2:14" ht="15.75" customHeight="1" x14ac:dyDescent="0.25">
      <c r="B1" s="5"/>
      <c r="C1" s="5"/>
      <c r="D1" s="5"/>
      <c r="E1" s="5"/>
      <c r="F1" s="5"/>
      <c r="G1" s="5"/>
      <c r="H1" s="5"/>
      <c r="I1" s="6" t="s">
        <v>0</v>
      </c>
      <c r="J1" s="6"/>
      <c r="K1" s="6"/>
      <c r="L1" s="7"/>
      <c r="M1" s="6"/>
    </row>
    <row r="2" spans="2:14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8"/>
      <c r="J2" s="209"/>
      <c r="K2" s="209"/>
      <c r="L2" s="209"/>
      <c r="M2" s="209"/>
      <c r="N2" s="209"/>
    </row>
    <row r="3" spans="2:14" ht="15.75" customHeight="1" x14ac:dyDescent="0.25">
      <c r="B3" s="209"/>
      <c r="C3" s="209"/>
      <c r="D3" s="209"/>
      <c r="E3" s="209"/>
      <c r="F3" s="209"/>
      <c r="G3" s="209"/>
      <c r="H3" s="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2:14" ht="15.75" customHeight="1" x14ac:dyDescent="0.25">
      <c r="B4" s="209"/>
      <c r="C4" s="209"/>
      <c r="D4" s="209"/>
      <c r="E4" s="209"/>
      <c r="F4" s="209"/>
      <c r="G4" s="209"/>
      <c r="H4" s="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2:14" ht="15.75" customHeight="1" x14ac:dyDescent="0.25">
      <c r="B5" s="209"/>
      <c r="C5" s="209"/>
      <c r="D5" s="209"/>
      <c r="E5" s="209"/>
      <c r="F5" s="209"/>
      <c r="G5" s="209"/>
      <c r="H5" s="8"/>
      <c r="I5" s="47" t="s">
        <v>3</v>
      </c>
      <c r="J5" s="182" t="str">
        <f>IF(ficha_alum!K5 = "", "", ficha_alum!K5)</f>
        <v/>
      </c>
      <c r="K5" s="172"/>
      <c r="L5" s="172"/>
      <c r="M5" s="172"/>
    </row>
    <row r="6" spans="2:14" ht="15.75" customHeight="1" thickBot="1" x14ac:dyDescent="0.3">
      <c r="B6" s="209"/>
      <c r="C6" s="209"/>
      <c r="D6" s="209"/>
      <c r="E6" s="209"/>
      <c r="F6" s="209"/>
      <c r="G6" s="209"/>
      <c r="H6" s="8"/>
      <c r="I6" s="48" t="s">
        <v>10</v>
      </c>
      <c r="J6" s="237" t="s">
        <v>9</v>
      </c>
      <c r="K6" s="196"/>
      <c r="L6" s="196"/>
      <c r="M6" s="196"/>
    </row>
    <row r="7" spans="2:14" x14ac:dyDescent="0.25">
      <c r="B7" s="5"/>
      <c r="C7" s="5"/>
      <c r="D7" s="8"/>
      <c r="E7" s="8"/>
      <c r="F7" s="8"/>
      <c r="G7" s="8"/>
      <c r="H7" s="8"/>
      <c r="I7" s="49" t="s">
        <v>79</v>
      </c>
      <c r="J7" s="220"/>
      <c r="K7" s="177"/>
      <c r="L7" s="177"/>
      <c r="M7" s="177"/>
    </row>
    <row r="8" spans="2:14" ht="27" customHeight="1" x14ac:dyDescent="0.25"/>
    <row r="9" spans="2:14" s="13" customFormat="1" ht="21" customHeight="1" x14ac:dyDescent="0.25">
      <c r="B9" s="214" t="s">
        <v>113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0" spans="2:14" x14ac:dyDescent="0.25">
      <c r="B10" s="50" t="s">
        <v>56</v>
      </c>
    </row>
    <row r="11" spans="2:14" ht="19.5" customHeight="1" x14ac:dyDescent="0.25">
      <c r="D11" s="128" t="s">
        <v>69</v>
      </c>
      <c r="F11" s="129"/>
      <c r="L11" s="128" t="s">
        <v>69</v>
      </c>
      <c r="M11" s="128" t="s">
        <v>23</v>
      </c>
      <c r="N11" s="128" t="s">
        <v>99</v>
      </c>
    </row>
    <row r="12" spans="2:14" ht="19.5" customHeight="1" x14ac:dyDescent="0.25">
      <c r="C12" s="70" t="s">
        <v>57</v>
      </c>
      <c r="D12" s="30">
        <f>COUNTIFS($C$24:$C$63,"&lt;&gt;",$D$24:$D$63,"&lt;&gt;Baixa")-COUNTBLANK($C$24:$C$63)</f>
        <v>0</v>
      </c>
      <c r="E12" s="146" t="s">
        <v>114</v>
      </c>
      <c r="G12" s="287" t="s">
        <v>115</v>
      </c>
      <c r="H12" s="209"/>
      <c r="I12" s="209"/>
      <c r="J12" s="209"/>
      <c r="K12" s="209"/>
      <c r="L12" s="134">
        <f>FINAL!L27+EXTRAORD!D17</f>
        <v>0</v>
      </c>
      <c r="M12" s="55" t="str">
        <f>IFERROR(L12/$D$12,"-")</f>
        <v>-</v>
      </c>
      <c r="N12" s="130" t="str">
        <f>IFERROR(L12/($D$15+FINAL!$D$31),"-")</f>
        <v>-</v>
      </c>
    </row>
    <row r="13" spans="2:14" ht="19.5" customHeight="1" x14ac:dyDescent="0.25">
      <c r="C13" s="70" t="s">
        <v>26</v>
      </c>
      <c r="D13" s="30">
        <f>COUNTIFS($D$24:$D$63,"Baixa")</f>
        <v>0</v>
      </c>
      <c r="E13" s="55" t="str">
        <f>IFERROR(D13/$D$12,"-")</f>
        <v>-</v>
      </c>
      <c r="F13" s="131"/>
      <c r="G13" s="298"/>
      <c r="H13" s="209"/>
      <c r="I13" s="209"/>
      <c r="J13" s="209"/>
      <c r="K13" s="209"/>
      <c r="L13" s="147"/>
      <c r="M13" s="148"/>
      <c r="N13" s="149"/>
    </row>
    <row r="14" spans="2:14" ht="19.5" customHeight="1" x14ac:dyDescent="0.25">
      <c r="C14" s="150" t="s">
        <v>116</v>
      </c>
      <c r="D14" s="30">
        <f>COUNTIFS(FINAL!$C$39:$C$78,"&lt;&gt;",FINAL!$D$39:$D$78,"&lt;&gt;Baixa",FINAL!$H$39:$H$78,"Sí")</f>
        <v>0</v>
      </c>
      <c r="E14" s="55" t="str">
        <f>IFERROR(D14/$D$12,"-")</f>
        <v>-</v>
      </c>
      <c r="G14" s="287" t="s">
        <v>105</v>
      </c>
      <c r="H14" s="209"/>
      <c r="I14" s="209"/>
      <c r="J14" s="209"/>
      <c r="K14" s="209"/>
      <c r="L14" s="134">
        <f>FINAL!L33+COUNTIFS($C$24:$C$63,"&lt;&gt;",$D$24:$D$63,"&lt;&gt;Baixa",$G$24:$G$63,"Promociona / Titula")</f>
        <v>0</v>
      </c>
      <c r="M14" s="55" t="str">
        <f>IFERROR(L14/$D$12,"-")</f>
        <v>-</v>
      </c>
      <c r="N14" s="130" t="str">
        <f>IFERROR(L14/($D$15+FINAL!$D$31),"-")</f>
        <v>-</v>
      </c>
    </row>
    <row r="15" spans="2:14" ht="19.5" customHeight="1" thickBot="1" x14ac:dyDescent="0.3">
      <c r="C15" s="53" t="s">
        <v>61</v>
      </c>
      <c r="D15" s="32">
        <v>0</v>
      </c>
      <c r="E15" s="55" t="str">
        <f>IFERROR(D15/$D$14,"-")</f>
        <v>-</v>
      </c>
      <c r="G15" s="287" t="s">
        <v>106</v>
      </c>
      <c r="H15" s="209"/>
      <c r="I15" s="209"/>
      <c r="J15" s="209"/>
      <c r="K15" s="209"/>
      <c r="L15" s="151">
        <f>D12-L14</f>
        <v>0</v>
      </c>
      <c r="M15" s="133" t="str">
        <f>IFERROR(L15/$D$12,"-")</f>
        <v>-</v>
      </c>
      <c r="N15" s="152" t="str">
        <f>IFERROR(L15/($D$15+FINAL!$D$31),"-")</f>
        <v>-</v>
      </c>
    </row>
    <row r="16" spans="2:14" ht="19.5" customHeight="1" x14ac:dyDescent="0.25">
      <c r="C16" s="53" t="s">
        <v>62</v>
      </c>
      <c r="D16" s="32">
        <v>0</v>
      </c>
      <c r="E16" s="55" t="str">
        <f>IFERROR(D16/$D$14,"-")</f>
        <v>-</v>
      </c>
      <c r="G16" s="298"/>
      <c r="H16" s="209"/>
      <c r="I16" s="209"/>
      <c r="J16" s="209"/>
      <c r="K16" s="209"/>
      <c r="L16" s="12"/>
      <c r="M16" s="57"/>
      <c r="N16" s="57"/>
    </row>
    <row r="17" spans="1:14" ht="19.5" customHeight="1" thickBot="1" x14ac:dyDescent="0.3">
      <c r="B17" s="287" t="s">
        <v>117</v>
      </c>
      <c r="C17" s="209"/>
      <c r="D17" s="35">
        <v>0</v>
      </c>
      <c r="E17" s="133" t="str">
        <f>IFERROR(D17/$D$14,"-")</f>
        <v>-</v>
      </c>
      <c r="G17" s="287"/>
      <c r="H17" s="209"/>
      <c r="I17" s="209"/>
      <c r="J17" s="209"/>
      <c r="K17" s="209"/>
    </row>
    <row r="18" spans="1:14" ht="19.5" customHeight="1" x14ac:dyDescent="0.25">
      <c r="D18" s="16"/>
      <c r="E18" s="16"/>
      <c r="F18" s="16"/>
    </row>
    <row r="19" spans="1:14" ht="19.5" customHeight="1" x14ac:dyDescent="0.25">
      <c r="C19" s="16"/>
      <c r="D19" s="16"/>
      <c r="E19" s="16"/>
      <c r="F19" s="16"/>
    </row>
    <row r="21" spans="1:14" s="13" customFormat="1" ht="21" customHeight="1" x14ac:dyDescent="0.25">
      <c r="B21" s="214" t="s">
        <v>118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</row>
    <row r="23" spans="1:14" s="3" customFormat="1" ht="32.25" customHeight="1" x14ac:dyDescent="0.25">
      <c r="B23" s="136" t="s">
        <v>38</v>
      </c>
      <c r="C23" s="40" t="s">
        <v>39</v>
      </c>
      <c r="D23" s="40" t="s">
        <v>95</v>
      </c>
      <c r="E23" s="301" t="s">
        <v>119</v>
      </c>
      <c r="F23" s="172"/>
      <c r="G23" s="301" t="s">
        <v>111</v>
      </c>
      <c r="H23" s="172"/>
      <c r="I23" s="302" t="s">
        <v>120</v>
      </c>
      <c r="J23" s="172"/>
      <c r="K23" s="172"/>
      <c r="L23" s="172"/>
      <c r="M23" s="172"/>
      <c r="N23" s="222"/>
    </row>
    <row r="24" spans="1:14" ht="33" customHeight="1" x14ac:dyDescent="0.25">
      <c r="A24" s="3">
        <v>1</v>
      </c>
      <c r="B24" s="139" t="str">
        <f>IF('0 AVAL'!B36 = "", "", '0 AVAL'!B36)</f>
        <v/>
      </c>
      <c r="C24" s="139" t="str">
        <f>IF('0 AVAL'!C36 = "", "", '0 AVAL'!C36)</f>
        <v/>
      </c>
      <c r="D24" s="140"/>
      <c r="E24" s="292" t="s">
        <v>90</v>
      </c>
      <c r="F24" s="279"/>
      <c r="G24" s="292" t="s">
        <v>90</v>
      </c>
      <c r="H24" s="279"/>
      <c r="I24" s="295"/>
      <c r="J24" s="181"/>
      <c r="K24" s="181"/>
      <c r="L24" s="181"/>
      <c r="M24" s="181"/>
      <c r="N24" s="279"/>
    </row>
    <row r="25" spans="1:14" ht="33" customHeight="1" x14ac:dyDescent="0.25">
      <c r="A25" s="3">
        <v>2</v>
      </c>
      <c r="B25" s="139" t="str">
        <f>IF('0 AVAL'!B37 = "", "", '0 AVAL'!B37)</f>
        <v/>
      </c>
      <c r="C25" s="139" t="str">
        <f>IF('0 AVAL'!C37 = "", "", '0 AVAL'!C37)</f>
        <v/>
      </c>
      <c r="D25" s="121"/>
      <c r="E25" s="292" t="s">
        <v>90</v>
      </c>
      <c r="F25" s="279"/>
      <c r="G25" s="292" t="s">
        <v>90</v>
      </c>
      <c r="H25" s="279"/>
      <c r="I25" s="294"/>
      <c r="J25" s="184"/>
      <c r="K25" s="184"/>
      <c r="L25" s="184"/>
      <c r="M25" s="184"/>
      <c r="N25" s="260"/>
    </row>
    <row r="26" spans="1:14" ht="33" customHeight="1" x14ac:dyDescent="0.25">
      <c r="A26" s="3">
        <v>3</v>
      </c>
      <c r="B26" s="139" t="str">
        <f>IF('0 AVAL'!B38 = "", "", '0 AVAL'!B38)</f>
        <v/>
      </c>
      <c r="C26" s="139" t="str">
        <f>IF('0 AVAL'!C38 = "", "", '0 AVAL'!C38)</f>
        <v/>
      </c>
      <c r="D26" s="121"/>
      <c r="E26" s="292" t="s">
        <v>90</v>
      </c>
      <c r="F26" s="279"/>
      <c r="G26" s="292" t="s">
        <v>90</v>
      </c>
      <c r="H26" s="279"/>
      <c r="I26" s="294"/>
      <c r="J26" s="184"/>
      <c r="K26" s="184"/>
      <c r="L26" s="184"/>
      <c r="M26" s="184"/>
      <c r="N26" s="260"/>
    </row>
    <row r="27" spans="1:14" ht="33" customHeight="1" x14ac:dyDescent="0.25">
      <c r="A27" s="3">
        <v>4</v>
      </c>
      <c r="B27" s="139" t="str">
        <f>IF('0 AVAL'!B39 = "", "", '0 AVAL'!B39)</f>
        <v/>
      </c>
      <c r="C27" s="139" t="str">
        <f>IF('0 AVAL'!C39 = "", "", '0 AVAL'!C39)</f>
        <v/>
      </c>
      <c r="D27" s="121"/>
      <c r="E27" s="292" t="s">
        <v>90</v>
      </c>
      <c r="F27" s="279"/>
      <c r="G27" s="292" t="s">
        <v>90</v>
      </c>
      <c r="H27" s="279"/>
      <c r="I27" s="294"/>
      <c r="J27" s="184"/>
      <c r="K27" s="184"/>
      <c r="L27" s="184"/>
      <c r="M27" s="184"/>
      <c r="N27" s="260"/>
    </row>
    <row r="28" spans="1:14" ht="33" customHeight="1" x14ac:dyDescent="0.25">
      <c r="A28" s="3">
        <v>5</v>
      </c>
      <c r="B28" s="139" t="str">
        <f>IF('0 AVAL'!B40 = "", "", '0 AVAL'!B40)</f>
        <v/>
      </c>
      <c r="C28" s="139" t="str">
        <f>IF('0 AVAL'!C40 = "", "", '0 AVAL'!C40)</f>
        <v/>
      </c>
      <c r="D28" s="121"/>
      <c r="E28" s="292" t="s">
        <v>90</v>
      </c>
      <c r="F28" s="279"/>
      <c r="G28" s="292" t="s">
        <v>90</v>
      </c>
      <c r="H28" s="279"/>
      <c r="I28" s="294"/>
      <c r="J28" s="184"/>
      <c r="K28" s="184"/>
      <c r="L28" s="184"/>
      <c r="M28" s="184"/>
      <c r="N28" s="260"/>
    </row>
    <row r="29" spans="1:14" ht="33" customHeight="1" x14ac:dyDescent="0.25">
      <c r="A29" s="3">
        <v>6</v>
      </c>
      <c r="B29" s="139" t="str">
        <f>IF('0 AVAL'!B41 = "", "", '0 AVAL'!B41)</f>
        <v/>
      </c>
      <c r="C29" s="139" t="str">
        <f>IF('0 AVAL'!C41 = "", "", '0 AVAL'!C41)</f>
        <v/>
      </c>
      <c r="D29" s="121"/>
      <c r="E29" s="292" t="s">
        <v>90</v>
      </c>
      <c r="F29" s="279"/>
      <c r="G29" s="292" t="s">
        <v>90</v>
      </c>
      <c r="H29" s="279"/>
      <c r="I29" s="294"/>
      <c r="J29" s="184"/>
      <c r="K29" s="184"/>
      <c r="L29" s="184"/>
      <c r="M29" s="184"/>
      <c r="N29" s="260"/>
    </row>
    <row r="30" spans="1:14" ht="33" customHeight="1" x14ac:dyDescent="0.25">
      <c r="A30" s="3">
        <v>7</v>
      </c>
      <c r="B30" s="139" t="str">
        <f>IF('0 AVAL'!B42 = "", "", '0 AVAL'!B42)</f>
        <v/>
      </c>
      <c r="C30" s="139" t="str">
        <f>IF('0 AVAL'!C42 = "", "", '0 AVAL'!C42)</f>
        <v/>
      </c>
      <c r="D30" s="121"/>
      <c r="E30" s="292" t="s">
        <v>90</v>
      </c>
      <c r="F30" s="279"/>
      <c r="G30" s="292" t="s">
        <v>90</v>
      </c>
      <c r="H30" s="279"/>
      <c r="I30" s="294"/>
      <c r="J30" s="184"/>
      <c r="K30" s="184"/>
      <c r="L30" s="184"/>
      <c r="M30" s="184"/>
      <c r="N30" s="260"/>
    </row>
    <row r="31" spans="1:14" ht="33" customHeight="1" x14ac:dyDescent="0.25">
      <c r="A31" s="3">
        <v>8</v>
      </c>
      <c r="B31" s="139" t="str">
        <f>IF('0 AVAL'!B43 = "", "", '0 AVAL'!B43)</f>
        <v/>
      </c>
      <c r="C31" s="139" t="str">
        <f>IF('0 AVAL'!C43 = "", "", '0 AVAL'!C43)</f>
        <v/>
      </c>
      <c r="D31" s="121"/>
      <c r="E31" s="292" t="s">
        <v>90</v>
      </c>
      <c r="F31" s="279"/>
      <c r="G31" s="292" t="s">
        <v>90</v>
      </c>
      <c r="H31" s="279"/>
      <c r="I31" s="294"/>
      <c r="J31" s="184"/>
      <c r="K31" s="184"/>
      <c r="L31" s="184"/>
      <c r="M31" s="184"/>
      <c r="N31" s="260"/>
    </row>
    <row r="32" spans="1:14" ht="33" customHeight="1" x14ac:dyDescent="0.25">
      <c r="A32" s="3">
        <v>9</v>
      </c>
      <c r="B32" s="139" t="str">
        <f>IF('0 AVAL'!B44 = "", "", '0 AVAL'!B44)</f>
        <v/>
      </c>
      <c r="C32" s="139" t="str">
        <f>IF('0 AVAL'!C44 = "", "", '0 AVAL'!C44)</f>
        <v/>
      </c>
      <c r="D32" s="121"/>
      <c r="E32" s="292" t="s">
        <v>90</v>
      </c>
      <c r="F32" s="279"/>
      <c r="G32" s="292" t="s">
        <v>90</v>
      </c>
      <c r="H32" s="279"/>
      <c r="I32" s="294"/>
      <c r="J32" s="184"/>
      <c r="K32" s="184"/>
      <c r="L32" s="184"/>
      <c r="M32" s="184"/>
      <c r="N32" s="260"/>
    </row>
    <row r="33" spans="1:14" ht="33" customHeight="1" x14ac:dyDescent="0.25">
      <c r="A33" s="3">
        <v>10</v>
      </c>
      <c r="B33" s="139" t="str">
        <f>IF('0 AVAL'!B45 = "", "", '0 AVAL'!B45)</f>
        <v/>
      </c>
      <c r="C33" s="139" t="str">
        <f>IF('0 AVAL'!C45 = "", "", '0 AVAL'!C45)</f>
        <v/>
      </c>
      <c r="D33" s="121"/>
      <c r="E33" s="292" t="s">
        <v>90</v>
      </c>
      <c r="F33" s="279"/>
      <c r="G33" s="292" t="s">
        <v>90</v>
      </c>
      <c r="H33" s="279"/>
      <c r="I33" s="294"/>
      <c r="J33" s="184"/>
      <c r="K33" s="184"/>
      <c r="L33" s="184"/>
      <c r="M33" s="184"/>
      <c r="N33" s="260"/>
    </row>
    <row r="34" spans="1:14" ht="33" customHeight="1" x14ac:dyDescent="0.25">
      <c r="A34" s="3">
        <v>11</v>
      </c>
      <c r="B34" s="139" t="str">
        <f>IF('0 AVAL'!B46 = "", "", '0 AVAL'!B46)</f>
        <v/>
      </c>
      <c r="C34" s="139" t="str">
        <f>IF('0 AVAL'!C46 = "", "", '0 AVAL'!C46)</f>
        <v/>
      </c>
      <c r="D34" s="121"/>
      <c r="E34" s="292" t="s">
        <v>90</v>
      </c>
      <c r="F34" s="279"/>
      <c r="G34" s="292" t="s">
        <v>90</v>
      </c>
      <c r="H34" s="279"/>
      <c r="I34" s="294"/>
      <c r="J34" s="184"/>
      <c r="K34" s="184"/>
      <c r="L34" s="184"/>
      <c r="M34" s="184"/>
      <c r="N34" s="260"/>
    </row>
    <row r="35" spans="1:14" ht="33" customHeight="1" x14ac:dyDescent="0.25">
      <c r="A35" s="3">
        <v>12</v>
      </c>
      <c r="B35" s="139" t="str">
        <f>IF('0 AVAL'!B47 = "", "", '0 AVAL'!B47)</f>
        <v/>
      </c>
      <c r="C35" s="139" t="str">
        <f>IF('0 AVAL'!C47 = "", "", '0 AVAL'!C47)</f>
        <v/>
      </c>
      <c r="D35" s="121"/>
      <c r="E35" s="292" t="s">
        <v>90</v>
      </c>
      <c r="F35" s="279"/>
      <c r="G35" s="292" t="s">
        <v>90</v>
      </c>
      <c r="H35" s="279"/>
      <c r="I35" s="294"/>
      <c r="J35" s="184"/>
      <c r="K35" s="184"/>
      <c r="L35" s="184"/>
      <c r="M35" s="184"/>
      <c r="N35" s="260"/>
    </row>
    <row r="36" spans="1:14" ht="33" customHeight="1" x14ac:dyDescent="0.25">
      <c r="A36" s="3">
        <v>13</v>
      </c>
      <c r="B36" s="139" t="str">
        <f>IF('0 AVAL'!B48 = "", "", '0 AVAL'!B48)</f>
        <v/>
      </c>
      <c r="C36" s="139" t="str">
        <f>IF('0 AVAL'!C48 = "", "", '0 AVAL'!C48)</f>
        <v/>
      </c>
      <c r="D36" s="121"/>
      <c r="E36" s="292" t="s">
        <v>90</v>
      </c>
      <c r="F36" s="279"/>
      <c r="G36" s="292" t="s">
        <v>90</v>
      </c>
      <c r="H36" s="279"/>
      <c r="I36" s="294"/>
      <c r="J36" s="184"/>
      <c r="K36" s="184"/>
      <c r="L36" s="184"/>
      <c r="M36" s="184"/>
      <c r="N36" s="260"/>
    </row>
    <row r="37" spans="1:14" ht="33" customHeight="1" x14ac:dyDescent="0.25">
      <c r="A37" s="3">
        <v>14</v>
      </c>
      <c r="B37" s="139" t="str">
        <f>IF('0 AVAL'!B49 = "", "", '0 AVAL'!B49)</f>
        <v/>
      </c>
      <c r="C37" s="139" t="str">
        <f>IF('0 AVAL'!C49 = "", "", '0 AVAL'!C49)</f>
        <v/>
      </c>
      <c r="D37" s="121"/>
      <c r="E37" s="292" t="s">
        <v>90</v>
      </c>
      <c r="F37" s="279"/>
      <c r="G37" s="292" t="s">
        <v>90</v>
      </c>
      <c r="H37" s="279"/>
      <c r="I37" s="294"/>
      <c r="J37" s="184"/>
      <c r="K37" s="184"/>
      <c r="L37" s="184"/>
      <c r="M37" s="184"/>
      <c r="N37" s="260"/>
    </row>
    <row r="38" spans="1:14" ht="33" customHeight="1" x14ac:dyDescent="0.25">
      <c r="A38" s="3">
        <v>15</v>
      </c>
      <c r="B38" s="139" t="str">
        <f>IF('0 AVAL'!B50 = "", "", '0 AVAL'!B50)</f>
        <v/>
      </c>
      <c r="C38" s="139" t="str">
        <f>IF('0 AVAL'!C50 = "", "", '0 AVAL'!C50)</f>
        <v/>
      </c>
      <c r="D38" s="121"/>
      <c r="E38" s="292" t="s">
        <v>90</v>
      </c>
      <c r="F38" s="279"/>
      <c r="G38" s="292" t="s">
        <v>90</v>
      </c>
      <c r="H38" s="279"/>
      <c r="I38" s="294"/>
      <c r="J38" s="184"/>
      <c r="K38" s="184"/>
      <c r="L38" s="184"/>
      <c r="M38" s="184"/>
      <c r="N38" s="260"/>
    </row>
    <row r="39" spans="1:14" ht="33" customHeight="1" x14ac:dyDescent="0.25">
      <c r="A39" s="3">
        <v>16</v>
      </c>
      <c r="B39" s="139" t="str">
        <f>IF('0 AVAL'!B51 = "", "", '0 AVAL'!B51)</f>
        <v/>
      </c>
      <c r="C39" s="139" t="str">
        <f>IF('0 AVAL'!C51 = "", "", '0 AVAL'!C51)</f>
        <v/>
      </c>
      <c r="D39" s="121"/>
      <c r="E39" s="292" t="s">
        <v>90</v>
      </c>
      <c r="F39" s="279"/>
      <c r="G39" s="292" t="s">
        <v>90</v>
      </c>
      <c r="H39" s="279"/>
      <c r="I39" s="294"/>
      <c r="J39" s="184"/>
      <c r="K39" s="184"/>
      <c r="L39" s="184"/>
      <c r="M39" s="184"/>
      <c r="N39" s="260"/>
    </row>
    <row r="40" spans="1:14" ht="33" customHeight="1" x14ac:dyDescent="0.25">
      <c r="A40" s="3">
        <v>17</v>
      </c>
      <c r="B40" s="139" t="str">
        <f>IF('0 AVAL'!B52 = "", "", '0 AVAL'!B52)</f>
        <v/>
      </c>
      <c r="C40" s="139" t="str">
        <f>IF('0 AVAL'!C52 = "", "", '0 AVAL'!C52)</f>
        <v/>
      </c>
      <c r="D40" s="121"/>
      <c r="E40" s="292" t="s">
        <v>90</v>
      </c>
      <c r="F40" s="279"/>
      <c r="G40" s="292" t="s">
        <v>90</v>
      </c>
      <c r="H40" s="279"/>
      <c r="I40" s="294"/>
      <c r="J40" s="184"/>
      <c r="K40" s="184"/>
      <c r="L40" s="184"/>
      <c r="M40" s="184"/>
      <c r="N40" s="260"/>
    </row>
    <row r="41" spans="1:14" ht="33" customHeight="1" x14ac:dyDescent="0.25">
      <c r="A41" s="3">
        <v>18</v>
      </c>
      <c r="B41" s="139" t="str">
        <f>IF('0 AVAL'!B53 = "", "", '0 AVAL'!B53)</f>
        <v/>
      </c>
      <c r="C41" s="139" t="str">
        <f>IF('0 AVAL'!C53 = "", "", '0 AVAL'!C53)</f>
        <v/>
      </c>
      <c r="D41" s="121"/>
      <c r="E41" s="292" t="s">
        <v>90</v>
      </c>
      <c r="F41" s="279"/>
      <c r="G41" s="292" t="s">
        <v>90</v>
      </c>
      <c r="H41" s="279"/>
      <c r="I41" s="294"/>
      <c r="J41" s="184"/>
      <c r="K41" s="184"/>
      <c r="L41" s="184"/>
      <c r="M41" s="184"/>
      <c r="N41" s="260"/>
    </row>
    <row r="42" spans="1:14" ht="33" customHeight="1" x14ac:dyDescent="0.25">
      <c r="A42" s="3">
        <v>19</v>
      </c>
      <c r="B42" s="139" t="str">
        <f>IF('0 AVAL'!B54 = "", "", '0 AVAL'!B54)</f>
        <v/>
      </c>
      <c r="C42" s="139" t="str">
        <f>IF('0 AVAL'!C54 = "", "", '0 AVAL'!C54)</f>
        <v/>
      </c>
      <c r="D42" s="121"/>
      <c r="E42" s="292" t="s">
        <v>90</v>
      </c>
      <c r="F42" s="279"/>
      <c r="G42" s="292" t="s">
        <v>90</v>
      </c>
      <c r="H42" s="279"/>
      <c r="I42" s="294"/>
      <c r="J42" s="184"/>
      <c r="K42" s="184"/>
      <c r="L42" s="184"/>
      <c r="M42" s="184"/>
      <c r="N42" s="260"/>
    </row>
    <row r="43" spans="1:14" ht="33" customHeight="1" x14ac:dyDescent="0.25">
      <c r="A43" s="3">
        <v>20</v>
      </c>
      <c r="B43" s="139" t="str">
        <f>IF('0 AVAL'!B55 = "", "", '0 AVAL'!B55)</f>
        <v/>
      </c>
      <c r="C43" s="139" t="str">
        <f>IF('0 AVAL'!C55 = "", "", '0 AVAL'!C55)</f>
        <v/>
      </c>
      <c r="D43" s="121"/>
      <c r="E43" s="292" t="s">
        <v>90</v>
      </c>
      <c r="F43" s="279"/>
      <c r="G43" s="292" t="s">
        <v>90</v>
      </c>
      <c r="H43" s="279"/>
      <c r="I43" s="294"/>
      <c r="J43" s="184"/>
      <c r="K43" s="184"/>
      <c r="L43" s="184"/>
      <c r="M43" s="184"/>
      <c r="N43" s="260"/>
    </row>
    <row r="44" spans="1:14" ht="33" customHeight="1" x14ac:dyDescent="0.25">
      <c r="A44" s="3">
        <v>21</v>
      </c>
      <c r="B44" s="139" t="str">
        <f>IF('0 AVAL'!B56 = "", "", '0 AVAL'!B56)</f>
        <v/>
      </c>
      <c r="C44" s="139" t="str">
        <f>IF('0 AVAL'!C56 = "", "", '0 AVAL'!C56)</f>
        <v/>
      </c>
      <c r="D44" s="121"/>
      <c r="E44" s="292" t="s">
        <v>90</v>
      </c>
      <c r="F44" s="279"/>
      <c r="G44" s="292" t="s">
        <v>90</v>
      </c>
      <c r="H44" s="279"/>
      <c r="I44" s="294"/>
      <c r="J44" s="184"/>
      <c r="K44" s="184"/>
      <c r="L44" s="184"/>
      <c r="M44" s="184"/>
      <c r="N44" s="260"/>
    </row>
    <row r="45" spans="1:14" ht="33" customHeight="1" x14ac:dyDescent="0.25">
      <c r="A45" s="3">
        <v>22</v>
      </c>
      <c r="B45" s="139" t="str">
        <f>IF('0 AVAL'!B57 = "", "", '0 AVAL'!B57)</f>
        <v/>
      </c>
      <c r="C45" s="139" t="str">
        <f>IF('0 AVAL'!C57 = "", "", '0 AVAL'!C57)</f>
        <v/>
      </c>
      <c r="D45" s="121"/>
      <c r="E45" s="292" t="s">
        <v>90</v>
      </c>
      <c r="F45" s="279"/>
      <c r="G45" s="292" t="s">
        <v>90</v>
      </c>
      <c r="H45" s="279"/>
      <c r="I45" s="294"/>
      <c r="J45" s="184"/>
      <c r="K45" s="184"/>
      <c r="L45" s="184"/>
      <c r="M45" s="184"/>
      <c r="N45" s="260"/>
    </row>
    <row r="46" spans="1:14" ht="33" customHeight="1" x14ac:dyDescent="0.25">
      <c r="A46" s="3">
        <v>23</v>
      </c>
      <c r="B46" s="139" t="str">
        <f>IF('0 AVAL'!B58 = "", "", '0 AVAL'!B58)</f>
        <v/>
      </c>
      <c r="C46" s="139" t="str">
        <f>IF('0 AVAL'!C58 = "", "", '0 AVAL'!C58)</f>
        <v/>
      </c>
      <c r="D46" s="121"/>
      <c r="E46" s="292" t="s">
        <v>90</v>
      </c>
      <c r="F46" s="279"/>
      <c r="G46" s="292" t="s">
        <v>90</v>
      </c>
      <c r="H46" s="279"/>
      <c r="I46" s="294"/>
      <c r="J46" s="184"/>
      <c r="K46" s="184"/>
      <c r="L46" s="184"/>
      <c r="M46" s="184"/>
      <c r="N46" s="260"/>
    </row>
    <row r="47" spans="1:14" ht="33" customHeight="1" x14ac:dyDescent="0.25">
      <c r="A47" s="3">
        <v>24</v>
      </c>
      <c r="B47" s="139" t="str">
        <f>IF('0 AVAL'!B59 = "", "", '0 AVAL'!B59)</f>
        <v/>
      </c>
      <c r="C47" s="139" t="str">
        <f>IF('0 AVAL'!C59 = "", "", '0 AVAL'!C59)</f>
        <v/>
      </c>
      <c r="D47" s="121"/>
      <c r="E47" s="292" t="s">
        <v>90</v>
      </c>
      <c r="F47" s="279"/>
      <c r="G47" s="292" t="s">
        <v>90</v>
      </c>
      <c r="H47" s="279"/>
      <c r="I47" s="294"/>
      <c r="J47" s="184"/>
      <c r="K47" s="184"/>
      <c r="L47" s="184"/>
      <c r="M47" s="184"/>
      <c r="N47" s="260"/>
    </row>
    <row r="48" spans="1:14" ht="33" customHeight="1" x14ac:dyDescent="0.25">
      <c r="A48" s="3">
        <v>25</v>
      </c>
      <c r="B48" s="139" t="str">
        <f>IF('0 AVAL'!B60 = "", "", '0 AVAL'!B60)</f>
        <v/>
      </c>
      <c r="C48" s="139" t="str">
        <f>IF('0 AVAL'!C60 = "", "", '0 AVAL'!C60)</f>
        <v/>
      </c>
      <c r="D48" s="121"/>
      <c r="E48" s="292" t="s">
        <v>90</v>
      </c>
      <c r="F48" s="279"/>
      <c r="G48" s="292" t="s">
        <v>90</v>
      </c>
      <c r="H48" s="279"/>
      <c r="I48" s="294"/>
      <c r="J48" s="184"/>
      <c r="K48" s="184"/>
      <c r="L48" s="184"/>
      <c r="M48" s="184"/>
      <c r="N48" s="260"/>
    </row>
    <row r="49" spans="1:14" ht="33" customHeight="1" x14ac:dyDescent="0.25">
      <c r="A49" s="3">
        <v>26</v>
      </c>
      <c r="B49" s="139" t="str">
        <f>IF('0 AVAL'!B61 = "", "", '0 AVAL'!B61)</f>
        <v/>
      </c>
      <c r="C49" s="139" t="str">
        <f>IF('0 AVAL'!C61 = "", "", '0 AVAL'!C61)</f>
        <v/>
      </c>
      <c r="D49" s="121"/>
      <c r="E49" s="292" t="s">
        <v>90</v>
      </c>
      <c r="F49" s="279"/>
      <c r="G49" s="292" t="s">
        <v>90</v>
      </c>
      <c r="H49" s="279"/>
      <c r="I49" s="294"/>
      <c r="J49" s="184"/>
      <c r="K49" s="184"/>
      <c r="L49" s="184"/>
      <c r="M49" s="184"/>
      <c r="N49" s="260"/>
    </row>
    <row r="50" spans="1:14" ht="33" customHeight="1" x14ac:dyDescent="0.25">
      <c r="A50" s="3">
        <v>27</v>
      </c>
      <c r="B50" s="139" t="str">
        <f>IF('0 AVAL'!B62 = "", "", '0 AVAL'!B62)</f>
        <v/>
      </c>
      <c r="C50" s="139" t="str">
        <f>IF('0 AVAL'!C62 = "", "", '0 AVAL'!C62)</f>
        <v/>
      </c>
      <c r="D50" s="121"/>
      <c r="E50" s="292" t="s">
        <v>90</v>
      </c>
      <c r="F50" s="279"/>
      <c r="G50" s="292" t="s">
        <v>90</v>
      </c>
      <c r="H50" s="279"/>
      <c r="I50" s="294"/>
      <c r="J50" s="184"/>
      <c r="K50" s="184"/>
      <c r="L50" s="184"/>
      <c r="M50" s="184"/>
      <c r="N50" s="260"/>
    </row>
    <row r="51" spans="1:14" ht="33" customHeight="1" x14ac:dyDescent="0.25">
      <c r="A51" s="3">
        <v>28</v>
      </c>
      <c r="B51" s="139" t="str">
        <f>IF('0 AVAL'!B63 = "", "", '0 AVAL'!B63)</f>
        <v/>
      </c>
      <c r="C51" s="139" t="str">
        <f>IF('0 AVAL'!C63 = "", "", '0 AVAL'!C63)</f>
        <v/>
      </c>
      <c r="D51" s="121"/>
      <c r="E51" s="292" t="s">
        <v>90</v>
      </c>
      <c r="F51" s="279"/>
      <c r="G51" s="292" t="s">
        <v>90</v>
      </c>
      <c r="H51" s="279"/>
      <c r="I51" s="294"/>
      <c r="J51" s="184"/>
      <c r="K51" s="184"/>
      <c r="L51" s="184"/>
      <c r="M51" s="184"/>
      <c r="N51" s="260"/>
    </row>
    <row r="52" spans="1:14" ht="33" customHeight="1" x14ac:dyDescent="0.25">
      <c r="A52" s="3">
        <v>29</v>
      </c>
      <c r="B52" s="139" t="str">
        <f>IF('0 AVAL'!B64 = "", "", '0 AVAL'!B64)</f>
        <v/>
      </c>
      <c r="C52" s="139" t="str">
        <f>IF('0 AVAL'!C64 = "", "", '0 AVAL'!C64)</f>
        <v/>
      </c>
      <c r="D52" s="121"/>
      <c r="E52" s="292" t="s">
        <v>90</v>
      </c>
      <c r="F52" s="279"/>
      <c r="G52" s="292" t="s">
        <v>90</v>
      </c>
      <c r="H52" s="279"/>
      <c r="I52" s="294"/>
      <c r="J52" s="184"/>
      <c r="K52" s="184"/>
      <c r="L52" s="184"/>
      <c r="M52" s="184"/>
      <c r="N52" s="260"/>
    </row>
    <row r="53" spans="1:14" ht="33" customHeight="1" x14ac:dyDescent="0.25">
      <c r="A53" s="3">
        <v>30</v>
      </c>
      <c r="B53" s="139" t="str">
        <f>IF('0 AVAL'!B65 = "", "", '0 AVAL'!B65)</f>
        <v/>
      </c>
      <c r="C53" s="139" t="str">
        <f>IF('0 AVAL'!C65 = "", "", '0 AVAL'!C65)</f>
        <v/>
      </c>
      <c r="D53" s="121"/>
      <c r="E53" s="292" t="s">
        <v>90</v>
      </c>
      <c r="F53" s="279"/>
      <c r="G53" s="292" t="s">
        <v>90</v>
      </c>
      <c r="H53" s="279"/>
      <c r="I53" s="294"/>
      <c r="J53" s="184"/>
      <c r="K53" s="184"/>
      <c r="L53" s="184"/>
      <c r="M53" s="184"/>
      <c r="N53" s="260"/>
    </row>
    <row r="54" spans="1:14" ht="33" customHeight="1" x14ac:dyDescent="0.25">
      <c r="A54" s="3">
        <v>31</v>
      </c>
      <c r="B54" s="139" t="str">
        <f>IF('0 AVAL'!B66 = "", "", '0 AVAL'!B66)</f>
        <v/>
      </c>
      <c r="C54" s="139" t="str">
        <f>IF('0 AVAL'!C66 = "", "", '0 AVAL'!C66)</f>
        <v/>
      </c>
      <c r="D54" s="121"/>
      <c r="E54" s="292" t="s">
        <v>90</v>
      </c>
      <c r="F54" s="279"/>
      <c r="G54" s="292" t="s">
        <v>90</v>
      </c>
      <c r="H54" s="279"/>
      <c r="I54" s="294"/>
      <c r="J54" s="184"/>
      <c r="K54" s="184"/>
      <c r="L54" s="184"/>
      <c r="M54" s="184"/>
      <c r="N54" s="260"/>
    </row>
    <row r="55" spans="1:14" ht="33" customHeight="1" x14ac:dyDescent="0.25">
      <c r="A55" s="3">
        <v>32</v>
      </c>
      <c r="B55" s="139" t="str">
        <f>IF('0 AVAL'!B67 = "", "", '0 AVAL'!B67)</f>
        <v/>
      </c>
      <c r="C55" s="139" t="str">
        <f>IF('0 AVAL'!C67 = "", "", '0 AVAL'!C67)</f>
        <v/>
      </c>
      <c r="D55" s="121"/>
      <c r="E55" s="292" t="s">
        <v>90</v>
      </c>
      <c r="F55" s="279"/>
      <c r="G55" s="292" t="s">
        <v>90</v>
      </c>
      <c r="H55" s="279"/>
      <c r="I55" s="294"/>
      <c r="J55" s="184"/>
      <c r="K55" s="184"/>
      <c r="L55" s="184"/>
      <c r="M55" s="184"/>
      <c r="N55" s="260"/>
    </row>
    <row r="56" spans="1:14" ht="33" customHeight="1" x14ac:dyDescent="0.25">
      <c r="A56" s="3">
        <v>33</v>
      </c>
      <c r="B56" s="139" t="str">
        <f>IF('0 AVAL'!B68 = "", "", '0 AVAL'!B68)</f>
        <v/>
      </c>
      <c r="C56" s="139" t="str">
        <f>IF('0 AVAL'!C68 = "", "", '0 AVAL'!C68)</f>
        <v/>
      </c>
      <c r="D56" s="121"/>
      <c r="E56" s="292" t="s">
        <v>90</v>
      </c>
      <c r="F56" s="279"/>
      <c r="G56" s="292" t="s">
        <v>90</v>
      </c>
      <c r="H56" s="279"/>
      <c r="I56" s="294"/>
      <c r="J56" s="184"/>
      <c r="K56" s="184"/>
      <c r="L56" s="184"/>
      <c r="M56" s="184"/>
      <c r="N56" s="260"/>
    </row>
    <row r="57" spans="1:14" ht="33" customHeight="1" x14ac:dyDescent="0.25">
      <c r="A57" s="3">
        <v>34</v>
      </c>
      <c r="B57" s="139" t="str">
        <f>IF('0 AVAL'!B69 = "", "", '0 AVAL'!B69)</f>
        <v/>
      </c>
      <c r="C57" s="139" t="str">
        <f>IF('0 AVAL'!C69 = "", "", '0 AVAL'!C69)</f>
        <v/>
      </c>
      <c r="D57" s="121"/>
      <c r="E57" s="292" t="s">
        <v>90</v>
      </c>
      <c r="F57" s="279"/>
      <c r="G57" s="292" t="s">
        <v>90</v>
      </c>
      <c r="H57" s="279"/>
      <c r="I57" s="294"/>
      <c r="J57" s="184"/>
      <c r="K57" s="184"/>
      <c r="L57" s="184"/>
      <c r="M57" s="184"/>
      <c r="N57" s="260"/>
    </row>
    <row r="58" spans="1:14" ht="33" customHeight="1" x14ac:dyDescent="0.25">
      <c r="A58" s="3">
        <v>35</v>
      </c>
      <c r="B58" s="139" t="str">
        <f>IF('0 AVAL'!B70 = "", "", '0 AVAL'!B70)</f>
        <v/>
      </c>
      <c r="C58" s="139" t="str">
        <f>IF('0 AVAL'!C70 = "", "", '0 AVAL'!C70)</f>
        <v/>
      </c>
      <c r="D58" s="121"/>
      <c r="E58" s="292" t="s">
        <v>90</v>
      </c>
      <c r="F58" s="279"/>
      <c r="G58" s="292" t="s">
        <v>90</v>
      </c>
      <c r="H58" s="279"/>
      <c r="I58" s="294"/>
      <c r="J58" s="184"/>
      <c r="K58" s="184"/>
      <c r="L58" s="184"/>
      <c r="M58" s="184"/>
      <c r="N58" s="260"/>
    </row>
    <row r="59" spans="1:14" ht="33" customHeight="1" x14ac:dyDescent="0.25">
      <c r="A59" s="3">
        <v>36</v>
      </c>
      <c r="B59" s="139" t="str">
        <f>IF('0 AVAL'!B71 = "", "", '0 AVAL'!B71)</f>
        <v/>
      </c>
      <c r="C59" s="139" t="str">
        <f>IF('0 AVAL'!C71 = "", "", '0 AVAL'!C71)</f>
        <v/>
      </c>
      <c r="D59" s="121"/>
      <c r="E59" s="292" t="s">
        <v>90</v>
      </c>
      <c r="F59" s="279"/>
      <c r="G59" s="292" t="s">
        <v>90</v>
      </c>
      <c r="H59" s="279"/>
      <c r="I59" s="294"/>
      <c r="J59" s="184"/>
      <c r="K59" s="184"/>
      <c r="L59" s="184"/>
      <c r="M59" s="184"/>
      <c r="N59" s="260"/>
    </row>
    <row r="60" spans="1:14" ht="33" customHeight="1" x14ac:dyDescent="0.25">
      <c r="A60" s="3">
        <v>37</v>
      </c>
      <c r="B60" s="139" t="str">
        <f>IF('0 AVAL'!B72 = "", "", '0 AVAL'!B72)</f>
        <v/>
      </c>
      <c r="C60" s="139" t="str">
        <f>IF('0 AVAL'!C72 = "", "", '0 AVAL'!C72)</f>
        <v/>
      </c>
      <c r="D60" s="121"/>
      <c r="E60" s="292" t="s">
        <v>90</v>
      </c>
      <c r="F60" s="279"/>
      <c r="G60" s="292" t="s">
        <v>90</v>
      </c>
      <c r="H60" s="279"/>
      <c r="I60" s="294"/>
      <c r="J60" s="184"/>
      <c r="K60" s="184"/>
      <c r="L60" s="184"/>
      <c r="M60" s="184"/>
      <c r="N60" s="260"/>
    </row>
    <row r="61" spans="1:14" ht="33" customHeight="1" x14ac:dyDescent="0.25">
      <c r="A61" s="3">
        <v>38</v>
      </c>
      <c r="B61" s="139" t="str">
        <f>IF('0 AVAL'!B73 = "", "", '0 AVAL'!B73)</f>
        <v/>
      </c>
      <c r="C61" s="139" t="str">
        <f>IF('0 AVAL'!C73 = "", "", '0 AVAL'!C73)</f>
        <v/>
      </c>
      <c r="D61" s="121"/>
      <c r="E61" s="292" t="s">
        <v>90</v>
      </c>
      <c r="F61" s="279"/>
      <c r="G61" s="292" t="s">
        <v>90</v>
      </c>
      <c r="H61" s="279"/>
      <c r="I61" s="294"/>
      <c r="J61" s="184"/>
      <c r="K61" s="184"/>
      <c r="L61" s="184"/>
      <c r="M61" s="184"/>
      <c r="N61" s="260"/>
    </row>
    <row r="62" spans="1:14" ht="33" customHeight="1" x14ac:dyDescent="0.25">
      <c r="A62" s="3">
        <v>39</v>
      </c>
      <c r="B62" s="139" t="str">
        <f>IF('0 AVAL'!B74 = "", "", '0 AVAL'!B74)</f>
        <v/>
      </c>
      <c r="C62" s="139" t="str">
        <f>IF('0 AVAL'!C74 = "", "", '0 AVAL'!C74)</f>
        <v/>
      </c>
      <c r="D62" s="121"/>
      <c r="E62" s="292" t="s">
        <v>90</v>
      </c>
      <c r="F62" s="279"/>
      <c r="G62" s="292" t="s">
        <v>90</v>
      </c>
      <c r="H62" s="279"/>
      <c r="I62" s="294"/>
      <c r="J62" s="184"/>
      <c r="K62" s="184"/>
      <c r="L62" s="184"/>
      <c r="M62" s="184"/>
      <c r="N62" s="260"/>
    </row>
    <row r="63" spans="1:14" ht="33" customHeight="1" x14ac:dyDescent="0.25">
      <c r="A63" s="3">
        <v>40</v>
      </c>
      <c r="B63" s="139" t="str">
        <f>IF('0 AVAL'!B75 = "", "", '0 AVAL'!B75)</f>
        <v/>
      </c>
      <c r="C63" s="139" t="str">
        <f>IF('0 AVAL'!C75 = "", "", '0 AVAL'!C75)</f>
        <v/>
      </c>
      <c r="D63" s="121"/>
      <c r="E63" s="292" t="s">
        <v>90</v>
      </c>
      <c r="F63" s="279"/>
      <c r="G63" s="292" t="s">
        <v>90</v>
      </c>
      <c r="H63" s="279"/>
      <c r="I63" s="294"/>
      <c r="J63" s="184"/>
      <c r="K63" s="184"/>
      <c r="L63" s="184"/>
      <c r="M63" s="184"/>
      <c r="N63" s="260"/>
    </row>
    <row r="64" spans="1:14" ht="27" customHeight="1" thickBot="1" x14ac:dyDescent="0.3"/>
    <row r="65" spans="1:14" s="13" customFormat="1" ht="21.4" customHeight="1" thickBot="1" x14ac:dyDescent="0.3">
      <c r="B65" s="229" t="s">
        <v>121</v>
      </c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1"/>
    </row>
    <row r="66" spans="1:14" x14ac:dyDescent="0.25">
      <c r="B66" s="2"/>
      <c r="C66" s="2"/>
      <c r="D66" s="2"/>
      <c r="E66" s="2"/>
      <c r="F66" s="2"/>
      <c r="G66" s="2"/>
      <c r="H66" s="2"/>
      <c r="I66" s="2"/>
      <c r="J66" s="61" t="s">
        <v>65</v>
      </c>
      <c r="K66" s="252" t="s">
        <v>66</v>
      </c>
      <c r="L66" s="209"/>
      <c r="M66" s="209"/>
      <c r="N66" s="209"/>
    </row>
    <row r="67" spans="1:14" x14ac:dyDescent="0.25">
      <c r="A67" s="62">
        <v>1</v>
      </c>
      <c r="B67" s="296"/>
      <c r="C67" s="297"/>
      <c r="D67" s="297"/>
      <c r="E67" s="297"/>
      <c r="F67" s="297"/>
      <c r="G67" s="297"/>
      <c r="H67" s="297"/>
      <c r="I67" s="297"/>
      <c r="J67" s="144"/>
      <c r="K67" s="226"/>
      <c r="L67" s="172"/>
      <c r="M67" s="172"/>
      <c r="N67" s="172"/>
    </row>
    <row r="68" spans="1:14" x14ac:dyDescent="0.25">
      <c r="A68" s="62">
        <v>2</v>
      </c>
      <c r="B68" s="223"/>
      <c r="C68" s="172"/>
      <c r="D68" s="172"/>
      <c r="E68" s="172"/>
      <c r="F68" s="172"/>
      <c r="G68" s="172"/>
      <c r="H68" s="172"/>
      <c r="I68" s="172"/>
      <c r="J68" s="144"/>
      <c r="K68" s="226"/>
      <c r="L68" s="172"/>
      <c r="M68" s="172"/>
      <c r="N68" s="172"/>
    </row>
    <row r="69" spans="1:14" x14ac:dyDescent="0.25">
      <c r="A69" s="62">
        <v>3</v>
      </c>
      <c r="B69" s="223"/>
      <c r="C69" s="172"/>
      <c r="D69" s="172"/>
      <c r="E69" s="172"/>
      <c r="F69" s="172"/>
      <c r="G69" s="172"/>
      <c r="H69" s="172"/>
      <c r="I69" s="172"/>
      <c r="J69" s="144"/>
      <c r="K69" s="226"/>
      <c r="L69" s="172"/>
      <c r="M69" s="172"/>
      <c r="N69" s="172"/>
    </row>
    <row r="70" spans="1:14" x14ac:dyDescent="0.25">
      <c r="A70" s="62">
        <v>4</v>
      </c>
      <c r="B70" s="223"/>
      <c r="C70" s="172"/>
      <c r="D70" s="172"/>
      <c r="E70" s="172"/>
      <c r="F70" s="172"/>
      <c r="G70" s="172"/>
      <c r="H70" s="172"/>
      <c r="I70" s="172"/>
      <c r="J70" s="144"/>
      <c r="K70" s="226"/>
      <c r="L70" s="172"/>
      <c r="M70" s="172"/>
      <c r="N70" s="172"/>
    </row>
    <row r="71" spans="1:14" x14ac:dyDescent="0.25">
      <c r="A71" s="62">
        <v>5</v>
      </c>
      <c r="B71" s="223"/>
      <c r="C71" s="172"/>
      <c r="D71" s="172"/>
      <c r="E71" s="172"/>
      <c r="F71" s="172"/>
      <c r="G71" s="172"/>
      <c r="H71" s="172"/>
      <c r="I71" s="172"/>
      <c r="J71" s="144"/>
      <c r="K71" s="226"/>
      <c r="L71" s="172"/>
      <c r="M71" s="172"/>
      <c r="N71" s="172"/>
    </row>
    <row r="72" spans="1:14" x14ac:dyDescent="0.25">
      <c r="A72" s="62">
        <v>6</v>
      </c>
      <c r="B72" s="223"/>
      <c r="C72" s="172"/>
      <c r="D72" s="172"/>
      <c r="E72" s="172"/>
      <c r="F72" s="172"/>
      <c r="G72" s="172"/>
      <c r="H72" s="172"/>
      <c r="I72" s="172"/>
      <c r="J72" s="144"/>
      <c r="K72" s="226"/>
      <c r="L72" s="172"/>
      <c r="M72" s="172"/>
      <c r="N72" s="172"/>
    </row>
    <row r="73" spans="1:14" ht="16.149999999999999" customHeight="1" thickBot="1" x14ac:dyDescent="0.3">
      <c r="A73" s="62">
        <v>7</v>
      </c>
      <c r="B73" s="299"/>
      <c r="C73" s="300"/>
      <c r="D73" s="300"/>
      <c r="E73" s="300"/>
      <c r="F73" s="300"/>
      <c r="G73" s="300"/>
      <c r="H73" s="300"/>
      <c r="I73" s="300"/>
      <c r="J73" s="145"/>
      <c r="K73" s="225"/>
      <c r="L73" s="196"/>
      <c r="M73" s="196"/>
      <c r="N73" s="196"/>
    </row>
    <row r="74" spans="1:14" ht="16.149999999999999" customHeight="1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s="13" customFormat="1" ht="21.4" customHeight="1" thickBot="1" x14ac:dyDescent="0.3">
      <c r="B75" s="229" t="s">
        <v>122</v>
      </c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1"/>
    </row>
    <row r="76" spans="1:14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s="5" customFormat="1" ht="30.75" customHeight="1" x14ac:dyDescent="0.25">
      <c r="A77" s="105">
        <v>1</v>
      </c>
      <c r="B77" s="219" t="str">
        <f>IF(ACORDS!E41 = "", "", ACORDS!E41)</f>
        <v/>
      </c>
      <c r="C77" s="172"/>
      <c r="D77" s="172"/>
      <c r="E77" s="172"/>
      <c r="F77" s="172"/>
      <c r="G77" s="172"/>
      <c r="H77" s="172"/>
      <c r="I77" s="172"/>
      <c r="J77" s="227" t="s">
        <v>52</v>
      </c>
      <c r="K77" s="200"/>
      <c r="L77" s="200"/>
      <c r="M77" s="200"/>
      <c r="N77" s="201"/>
    </row>
    <row r="78" spans="1:14" s="5" customFormat="1" ht="30.75" customHeight="1" x14ac:dyDescent="0.25">
      <c r="A78" s="105">
        <v>2</v>
      </c>
      <c r="B78" s="219" t="str">
        <f>IF(ACORDS!E42 = "", "", ACORDS!E42)</f>
        <v/>
      </c>
      <c r="C78" s="172"/>
      <c r="D78" s="172"/>
      <c r="E78" s="172"/>
      <c r="F78" s="172"/>
      <c r="G78" s="172"/>
      <c r="H78" s="172"/>
      <c r="I78" s="172"/>
      <c r="J78" s="202"/>
      <c r="K78" s="267"/>
      <c r="L78" s="267"/>
      <c r="M78" s="267"/>
      <c r="N78" s="204"/>
    </row>
    <row r="79" spans="1:14" s="5" customFormat="1" ht="30.75" customHeight="1" x14ac:dyDescent="0.25">
      <c r="A79" s="105">
        <v>3</v>
      </c>
      <c r="B79" s="219" t="str">
        <f>IF(ACORDS!E43 = "", "", ACORDS!E43)</f>
        <v/>
      </c>
      <c r="C79" s="172"/>
      <c r="D79" s="172"/>
      <c r="E79" s="172"/>
      <c r="F79" s="172"/>
      <c r="G79" s="172"/>
      <c r="H79" s="172"/>
      <c r="I79" s="172"/>
      <c r="J79" s="202"/>
      <c r="K79" s="267"/>
      <c r="L79" s="267"/>
      <c r="M79" s="267"/>
      <c r="N79" s="204"/>
    </row>
    <row r="80" spans="1:14" s="5" customFormat="1" ht="30.75" customHeight="1" x14ac:dyDescent="0.25">
      <c r="A80" s="105">
        <v>4</v>
      </c>
      <c r="B80" s="219" t="str">
        <f>IF(ACORDS!E44 = "", "", ACORDS!E44)</f>
        <v/>
      </c>
      <c r="C80" s="172"/>
      <c r="D80" s="172"/>
      <c r="E80" s="172"/>
      <c r="F80" s="172"/>
      <c r="G80" s="172"/>
      <c r="H80" s="172"/>
      <c r="I80" s="172"/>
      <c r="J80" s="202"/>
      <c r="K80" s="267"/>
      <c r="L80" s="267"/>
      <c r="M80" s="267"/>
      <c r="N80" s="204"/>
    </row>
    <row r="81" spans="1:14" s="5" customFormat="1" ht="30.75" customHeight="1" x14ac:dyDescent="0.25">
      <c r="A81" s="105">
        <v>5</v>
      </c>
      <c r="B81" s="219" t="str">
        <f>IF(ACORDS!E45 = "", "", ACORDS!E45)</f>
        <v/>
      </c>
      <c r="C81" s="172"/>
      <c r="D81" s="172"/>
      <c r="E81" s="172"/>
      <c r="F81" s="172"/>
      <c r="G81" s="172"/>
      <c r="H81" s="172"/>
      <c r="I81" s="172"/>
      <c r="J81" s="202"/>
      <c r="K81" s="267"/>
      <c r="L81" s="267"/>
      <c r="M81" s="267"/>
      <c r="N81" s="204"/>
    </row>
    <row r="82" spans="1:14" s="5" customFormat="1" ht="30.75" customHeight="1" x14ac:dyDescent="0.25">
      <c r="A82" s="105">
        <v>6</v>
      </c>
      <c r="B82" s="219" t="str">
        <f>IF(ACORDS!E46 = "", "", ACORDS!E46)</f>
        <v/>
      </c>
      <c r="C82" s="172"/>
      <c r="D82" s="172"/>
      <c r="E82" s="172"/>
      <c r="F82" s="172"/>
      <c r="G82" s="172"/>
      <c r="H82" s="172"/>
      <c r="I82" s="172"/>
      <c r="J82" s="202"/>
      <c r="K82" s="267"/>
      <c r="L82" s="267"/>
      <c r="M82" s="267"/>
      <c r="N82" s="204"/>
    </row>
    <row r="83" spans="1:14" s="5" customFormat="1" ht="30.75" customHeight="1" thickBot="1" x14ac:dyDescent="0.3">
      <c r="A83" s="105">
        <v>7</v>
      </c>
      <c r="B83" s="219" t="str">
        <f>IF(ACORDS!E47 = "", "", ACORDS!E47)</f>
        <v/>
      </c>
      <c r="C83" s="172"/>
      <c r="D83" s="172"/>
      <c r="E83" s="172"/>
      <c r="F83" s="172"/>
      <c r="G83" s="172"/>
      <c r="H83" s="172"/>
      <c r="I83" s="172"/>
      <c r="J83" s="205"/>
      <c r="K83" s="206"/>
      <c r="L83" s="206"/>
      <c r="M83" s="206"/>
      <c r="N83" s="207"/>
    </row>
    <row r="84" spans="1:14" ht="50.25" customHeight="1" x14ac:dyDescent="0.25">
      <c r="B84" s="232" t="s">
        <v>53</v>
      </c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</sheetData>
  <mergeCells count="167">
    <mergeCell ref="J2:N2"/>
    <mergeCell ref="G60:H60"/>
    <mergeCell ref="I57:N57"/>
    <mergeCell ref="E58:F58"/>
    <mergeCell ref="B82:I82"/>
    <mergeCell ref="G15:K15"/>
    <mergeCell ref="E49:F49"/>
    <mergeCell ref="E27:F27"/>
    <mergeCell ref="G58:H58"/>
    <mergeCell ref="I40:N40"/>
    <mergeCell ref="B21:N21"/>
    <mergeCell ref="E36:F36"/>
    <mergeCell ref="B68:I68"/>
    <mergeCell ref="I29:N29"/>
    <mergeCell ref="B78:I78"/>
    <mergeCell ref="G24:H24"/>
    <mergeCell ref="G33:H33"/>
    <mergeCell ref="I31:N31"/>
    <mergeCell ref="E26:F26"/>
    <mergeCell ref="K72:N72"/>
    <mergeCell ref="G26:H26"/>
    <mergeCell ref="I46:N46"/>
    <mergeCell ref="G35:H35"/>
    <mergeCell ref="K70:N70"/>
    <mergeCell ref="G59:H59"/>
    <mergeCell ref="E62:F62"/>
    <mergeCell ref="B65:N65"/>
    <mergeCell ref="I28:N28"/>
    <mergeCell ref="B72:I72"/>
    <mergeCell ref="B2:C6"/>
    <mergeCell ref="I39:N39"/>
    <mergeCell ref="G62:H62"/>
    <mergeCell ref="E40:F40"/>
    <mergeCell ref="G49:H49"/>
    <mergeCell ref="I25:N25"/>
    <mergeCell ref="E55:F55"/>
    <mergeCell ref="I53:N53"/>
    <mergeCell ref="G61:H61"/>
    <mergeCell ref="E48:F48"/>
    <mergeCell ref="G48:H48"/>
    <mergeCell ref="E38:F38"/>
    <mergeCell ref="I55:N55"/>
    <mergeCell ref="G38:H38"/>
    <mergeCell ref="I52:N52"/>
    <mergeCell ref="G25:H25"/>
    <mergeCell ref="I30:N30"/>
    <mergeCell ref="E57:F57"/>
    <mergeCell ref="G51:H51"/>
    <mergeCell ref="B83:I83"/>
    <mergeCell ref="G16:K16"/>
    <mergeCell ref="B73:I73"/>
    <mergeCell ref="E34:F34"/>
    <mergeCell ref="G2:G6"/>
    <mergeCell ref="G34:H34"/>
    <mergeCell ref="G14:K14"/>
    <mergeCell ref="G12:K12"/>
    <mergeCell ref="D2:F6"/>
    <mergeCell ref="E23:F23"/>
    <mergeCell ref="G23:H23"/>
    <mergeCell ref="B70:I70"/>
    <mergeCell ref="E51:F51"/>
    <mergeCell ref="E63:F63"/>
    <mergeCell ref="G57:H57"/>
    <mergeCell ref="I48:N48"/>
    <mergeCell ref="I23:N23"/>
    <mergeCell ref="G13:K13"/>
    <mergeCell ref="J5:M5"/>
    <mergeCell ref="I38:N38"/>
    <mergeCell ref="E25:F25"/>
    <mergeCell ref="J4:M4"/>
    <mergeCell ref="I26:N26"/>
    <mergeCell ref="E53:F53"/>
    <mergeCell ref="E59:F59"/>
    <mergeCell ref="E46:F46"/>
    <mergeCell ref="E30:F30"/>
    <mergeCell ref="I63:N63"/>
    <mergeCell ref="B84:N84"/>
    <mergeCell ref="I41:N41"/>
    <mergeCell ref="G42:H42"/>
    <mergeCell ref="J3:M3"/>
    <mergeCell ref="I56:N56"/>
    <mergeCell ref="E52:F52"/>
    <mergeCell ref="I43:N43"/>
    <mergeCell ref="I58:N58"/>
    <mergeCell ref="E39:F39"/>
    <mergeCell ref="E44:F44"/>
    <mergeCell ref="G39:H39"/>
    <mergeCell ref="G17:K17"/>
    <mergeCell ref="I33:N33"/>
    <mergeCell ref="B77:I77"/>
    <mergeCell ref="I42:N42"/>
    <mergeCell ref="E29:F29"/>
    <mergeCell ref="G37:H37"/>
    <mergeCell ref="B67:I67"/>
    <mergeCell ref="B17:C17"/>
    <mergeCell ref="I35:N35"/>
    <mergeCell ref="B81:I81"/>
    <mergeCell ref="E33:F33"/>
    <mergeCell ref="G27:H27"/>
    <mergeCell ref="K73:N73"/>
    <mergeCell ref="E42:F42"/>
    <mergeCell ref="G36:H36"/>
    <mergeCell ref="B71:I71"/>
    <mergeCell ref="K66:N66"/>
    <mergeCell ref="I62:N62"/>
    <mergeCell ref="E35:F35"/>
    <mergeCell ref="B75:N75"/>
    <mergeCell ref="E28:F28"/>
    <mergeCell ref="G53:H53"/>
    <mergeCell ref="G28:H28"/>
    <mergeCell ref="K68:N68"/>
    <mergeCell ref="J77:N83"/>
    <mergeCell ref="E60:F60"/>
    <mergeCell ref="I51:N51"/>
    <mergeCell ref="E32:F32"/>
    <mergeCell ref="G54:H54"/>
    <mergeCell ref="G32:H32"/>
    <mergeCell ref="E41:F41"/>
    <mergeCell ref="G63:H63"/>
    <mergeCell ref="G41:H41"/>
    <mergeCell ref="B79:I79"/>
    <mergeCell ref="E56:F56"/>
    <mergeCell ref="G56:H56"/>
    <mergeCell ref="K71:N71"/>
    <mergeCell ref="B80:I80"/>
    <mergeCell ref="G31:H31"/>
    <mergeCell ref="G46:H46"/>
    <mergeCell ref="G40:H40"/>
    <mergeCell ref="J7:M7"/>
    <mergeCell ref="E47:F47"/>
    <mergeCell ref="E24:F24"/>
    <mergeCell ref="B69:I69"/>
    <mergeCell ref="I59:N59"/>
    <mergeCell ref="I60:N60"/>
    <mergeCell ref="E61:F61"/>
    <mergeCell ref="K67:N67"/>
    <mergeCell ref="K69:N69"/>
    <mergeCell ref="G50:H50"/>
    <mergeCell ref="I61:N61"/>
    <mergeCell ref="G30:H30"/>
    <mergeCell ref="I54:N54"/>
    <mergeCell ref="E50:F50"/>
    <mergeCell ref="I50:N50"/>
    <mergeCell ref="E45:F45"/>
    <mergeCell ref="J6:M6"/>
    <mergeCell ref="I34:N34"/>
    <mergeCell ref="G55:H55"/>
    <mergeCell ref="G29:H29"/>
    <mergeCell ref="I49:N49"/>
    <mergeCell ref="G47:H47"/>
    <mergeCell ref="I27:N27"/>
    <mergeCell ref="I36:N36"/>
    <mergeCell ref="I45:N45"/>
    <mergeCell ref="I37:N37"/>
    <mergeCell ref="B9:N9"/>
    <mergeCell ref="I24:N24"/>
    <mergeCell ref="I47:N47"/>
    <mergeCell ref="E43:F43"/>
    <mergeCell ref="G43:H43"/>
    <mergeCell ref="G52:H52"/>
    <mergeCell ref="I32:N32"/>
    <mergeCell ref="G45:H45"/>
    <mergeCell ref="E37:F37"/>
    <mergeCell ref="E31:F31"/>
    <mergeCell ref="I44:N44"/>
    <mergeCell ref="G44:H44"/>
    <mergeCell ref="E54:F54"/>
  </mergeCells>
  <conditionalFormatting sqref="E24:F63">
    <cfRule type="containsText" dxfId="5" priority="5" operator="containsText" text="tots">
      <formula>NOT(ISERROR(SEARCH("tots",E24)))</formula>
    </cfRule>
    <cfRule type="containsText" dxfId="4" priority="6" operator="containsText" text="algun">
      <formula>NOT(ISERROR(SEARCH("algun",E24)))</formula>
    </cfRule>
    <cfRule type="containsText" dxfId="3" priority="7" operator="containsText" text="No">
      <formula>NOT(ISERROR(SEARCH("No",E24)))</formula>
    </cfRule>
  </conditionalFormatting>
  <conditionalFormatting sqref="J67:J73">
    <cfRule type="containsText" dxfId="2" priority="2" operator="containsText" text="No">
      <formula>NOT(ISERROR(SEARCH("No",J67)))</formula>
    </cfRule>
    <cfRule type="containsText" dxfId="1" priority="3" operator="containsText" text="Procés">
      <formula>NOT(ISERROR(SEARCH("Procés",J67)))</formula>
    </cfRule>
    <cfRule type="containsText" dxfId="0" priority="4" operator="containsText" text="Fet">
      <formula>NOT(ISERROR(SEARCH("Fet",J67)))</formula>
    </cfRule>
  </conditionalFormatting>
  <dataValidations count="2">
    <dataValidation allowBlank="1" showInputMessage="1" showErrorMessage="1" sqref="J6:M6" xr:uid="{00000000-0002-0000-0800-000000000000}"/>
    <dataValidation type="date" allowBlank="1" showInputMessage="1" showErrorMessage="1" sqref="J7:M7" xr:uid="{00000000-0002-0000-0800-000001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1:FY79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28515625" style="1" customWidth="1"/>
    <col min="2" max="2" width="21.7109375" style="1" customWidth="1"/>
    <col min="3" max="3" width="25.28515625" style="1" customWidth="1"/>
    <col min="4" max="8" width="12.5703125" style="1" customWidth="1"/>
    <col min="9" max="9" width="15.85546875" style="1" customWidth="1"/>
    <col min="10" max="13" width="12.5703125" style="1" customWidth="1"/>
    <col min="14" max="14" width="2.7109375" style="1" customWidth="1"/>
    <col min="15" max="22" width="0" style="1" hidden="1"/>
    <col min="23" max="181" width="4.42578125" style="1" hidden="1" customWidth="1"/>
    <col min="182" max="16383" width="0" style="1" hidden="1"/>
    <col min="16384" max="16384" width="5" style="1" customWidth="1"/>
  </cols>
  <sheetData>
    <row r="1" spans="2:25" ht="29.25" customHeight="1" x14ac:dyDescent="0.25">
      <c r="B1" s="5"/>
      <c r="C1" s="5"/>
      <c r="D1" s="5"/>
      <c r="E1" s="5"/>
      <c r="F1" s="5"/>
      <c r="G1" s="5"/>
      <c r="H1" s="5"/>
      <c r="I1" s="153" t="s">
        <v>123</v>
      </c>
      <c r="J1" s="6"/>
      <c r="K1" s="6"/>
      <c r="L1" s="7" t="s">
        <v>124</v>
      </c>
      <c r="M1" s="6"/>
    </row>
    <row r="2" spans="2:25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8"/>
      <c r="J2" s="209"/>
      <c r="K2" s="209"/>
      <c r="L2" s="209"/>
      <c r="M2" s="209"/>
      <c r="N2" s="209"/>
    </row>
    <row r="3" spans="2:25" ht="15.75" customHeight="1" x14ac:dyDescent="0.25">
      <c r="B3" s="209"/>
      <c r="C3" s="209"/>
      <c r="D3" s="209"/>
      <c r="E3" s="209"/>
      <c r="F3" s="209"/>
      <c r="G3" s="209"/>
      <c r="H3" s="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2:25" ht="15.75" customHeight="1" x14ac:dyDescent="0.25">
      <c r="B4" s="209"/>
      <c r="C4" s="209"/>
      <c r="D4" s="209"/>
      <c r="E4" s="209"/>
      <c r="F4" s="209"/>
      <c r="G4" s="209"/>
      <c r="H4" s="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2:25" ht="15.75" hidden="1" customHeight="1" x14ac:dyDescent="0.25">
      <c r="B5" s="209"/>
      <c r="C5" s="209"/>
      <c r="D5" s="209"/>
      <c r="E5" s="209"/>
      <c r="F5" s="209"/>
      <c r="G5" s="209"/>
      <c r="H5" s="8"/>
      <c r="J5" s="182" t="str">
        <f>IF(ficha_alum!K5 = "", "", ficha_alum!K5)</f>
        <v/>
      </c>
      <c r="K5" s="172"/>
      <c r="L5" s="172"/>
      <c r="M5" s="172"/>
    </row>
    <row r="6" spans="2:25" ht="15.75" customHeight="1" thickBot="1" x14ac:dyDescent="0.3">
      <c r="B6" s="209"/>
      <c r="C6" s="209"/>
      <c r="D6" s="209"/>
      <c r="E6" s="209"/>
      <c r="F6" s="209"/>
      <c r="G6" s="209"/>
      <c r="H6" s="8"/>
      <c r="I6" s="47" t="s">
        <v>3</v>
      </c>
      <c r="J6" s="182" t="str">
        <f>IF(ficha_alum!K6 = "", "", ficha_alum!K6)</f>
        <v/>
      </c>
      <c r="K6" s="172"/>
      <c r="L6" s="172"/>
      <c r="M6" s="172"/>
    </row>
    <row r="7" spans="2:25" x14ac:dyDescent="0.25">
      <c r="B7" s="5"/>
      <c r="C7" s="5"/>
      <c r="D7" s="8"/>
      <c r="E7" s="8"/>
      <c r="F7" s="8"/>
      <c r="G7" s="8"/>
      <c r="H7" s="8"/>
      <c r="I7" s="49" t="s">
        <v>79</v>
      </c>
      <c r="J7" s="220"/>
      <c r="K7" s="177"/>
      <c r="L7" s="177"/>
      <c r="M7" s="177"/>
    </row>
    <row r="9" spans="2:25" s="13" customFormat="1" ht="21" customHeight="1" x14ac:dyDescent="0.25">
      <c r="B9" s="214" t="s">
        <v>125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1" spans="2:25" ht="15.6" customHeight="1" x14ac:dyDescent="0.25">
      <c r="B11" s="238" t="s">
        <v>126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38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</row>
    <row r="12" spans="2:25" ht="56.25" customHeight="1" x14ac:dyDescent="0.25">
      <c r="B12" s="309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260"/>
    </row>
    <row r="14" spans="2:25" x14ac:dyDescent="0.25">
      <c r="B14" s="238" t="s">
        <v>127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38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</row>
    <row r="15" spans="2:25" ht="56.25" customHeight="1" x14ac:dyDescent="0.25">
      <c r="B15" s="309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260"/>
    </row>
    <row r="16" spans="2:25" ht="15.75" hidden="1" customHeight="1" x14ac:dyDescent="0.25"/>
    <row r="17" spans="1:14" x14ac:dyDescent="0.25">
      <c r="B17" s="154" t="s">
        <v>128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</row>
    <row r="18" spans="1:14" ht="56.25" customHeight="1" x14ac:dyDescent="0.25">
      <c r="B18" s="309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260"/>
    </row>
    <row r="20" spans="1:14" s="13" customFormat="1" ht="21" customHeight="1" x14ac:dyDescent="0.25">
      <c r="B20" s="214" t="s">
        <v>129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</row>
    <row r="22" spans="1:14" ht="15.6" customHeight="1" x14ac:dyDescent="0.25">
      <c r="B22" s="307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75"/>
    </row>
    <row r="23" spans="1:14" ht="253.5" customHeight="1" x14ac:dyDescent="0.25">
      <c r="B23" s="308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279"/>
    </row>
    <row r="25" spans="1:14" s="13" customFormat="1" ht="21" customHeight="1" x14ac:dyDescent="0.25">
      <c r="B25" s="214" t="s">
        <v>130</v>
      </c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</row>
    <row r="27" spans="1:14" s="3" customFormat="1" ht="45.75" customHeight="1" x14ac:dyDescent="0.25">
      <c r="B27" s="155" t="s">
        <v>38</v>
      </c>
      <c r="C27" s="156" t="s">
        <v>39</v>
      </c>
      <c r="D27" s="156" t="s">
        <v>131</v>
      </c>
      <c r="E27" s="249" t="s">
        <v>132</v>
      </c>
      <c r="F27" s="172"/>
      <c r="G27" s="172"/>
      <c r="H27" s="172"/>
      <c r="I27" s="172"/>
      <c r="J27" s="172"/>
      <c r="K27" s="172"/>
      <c r="L27" s="172"/>
      <c r="M27" s="172"/>
      <c r="N27" s="222"/>
    </row>
    <row r="28" spans="1:14" ht="47.25" customHeight="1" x14ac:dyDescent="0.25">
      <c r="A28" s="3">
        <v>1</v>
      </c>
      <c r="B28" s="139" t="str">
        <f>IF('0 AVAL'!B36 = "", "", '0 AVAL'!B36)</f>
        <v/>
      </c>
      <c r="C28" s="139" t="str">
        <f>IF('0 AVAL'!C36 = "", "", '0 AVAL'!C36)</f>
        <v/>
      </c>
      <c r="D28" s="140"/>
      <c r="E28" s="304" t="s">
        <v>133</v>
      </c>
      <c r="F28" s="193"/>
      <c r="G28" s="193"/>
      <c r="H28" s="193"/>
      <c r="I28" s="193"/>
      <c r="J28" s="193"/>
      <c r="K28" s="193"/>
      <c r="L28" s="193"/>
      <c r="M28" s="193"/>
      <c r="N28" s="305"/>
    </row>
    <row r="29" spans="1:14" ht="47.25" customHeight="1" x14ac:dyDescent="0.25">
      <c r="A29" s="3">
        <v>2</v>
      </c>
      <c r="B29" s="139" t="str">
        <f>IF('0 AVAL'!B37 = "", "", '0 AVAL'!B37)</f>
        <v/>
      </c>
      <c r="C29" s="139" t="str">
        <f>IF('0 AVAL'!C37 = "", "", '0 AVAL'!C37)</f>
        <v/>
      </c>
      <c r="D29" s="121"/>
      <c r="E29" s="306"/>
      <c r="F29" s="172"/>
      <c r="G29" s="172"/>
      <c r="H29" s="172"/>
      <c r="I29" s="172"/>
      <c r="J29" s="172"/>
      <c r="K29" s="172"/>
      <c r="L29" s="172"/>
      <c r="M29" s="172"/>
      <c r="N29" s="222"/>
    </row>
    <row r="30" spans="1:14" ht="47.25" customHeight="1" x14ac:dyDescent="0.25">
      <c r="A30" s="3">
        <v>3</v>
      </c>
      <c r="B30" s="139" t="str">
        <f>IF('0 AVAL'!B38 = "", "", '0 AVAL'!B38)</f>
        <v/>
      </c>
      <c r="C30" s="139" t="str">
        <f>IF('0 AVAL'!C38 = "", "", '0 AVAL'!C38)</f>
        <v/>
      </c>
      <c r="D30" s="121"/>
      <c r="E30" s="306"/>
      <c r="F30" s="172"/>
      <c r="G30" s="172"/>
      <c r="H30" s="172"/>
      <c r="I30" s="172"/>
      <c r="J30" s="172"/>
      <c r="K30" s="172"/>
      <c r="L30" s="172"/>
      <c r="M30" s="172"/>
      <c r="N30" s="222"/>
    </row>
    <row r="31" spans="1:14" ht="47.25" customHeight="1" x14ac:dyDescent="0.25">
      <c r="A31" s="3">
        <v>4</v>
      </c>
      <c r="B31" s="139" t="str">
        <f>IF('0 AVAL'!B39 = "", "", '0 AVAL'!B39)</f>
        <v/>
      </c>
      <c r="C31" s="139" t="str">
        <f>IF('0 AVAL'!C39 = "", "", '0 AVAL'!C39)</f>
        <v/>
      </c>
      <c r="D31" s="121"/>
      <c r="E31" s="306"/>
      <c r="F31" s="172"/>
      <c r="G31" s="172"/>
      <c r="H31" s="172"/>
      <c r="I31" s="172"/>
      <c r="J31" s="172"/>
      <c r="K31" s="172"/>
      <c r="L31" s="172"/>
      <c r="M31" s="172"/>
      <c r="N31" s="222"/>
    </row>
    <row r="32" spans="1:14" ht="47.25" customHeight="1" x14ac:dyDescent="0.25">
      <c r="A32" s="3">
        <v>5</v>
      </c>
      <c r="B32" s="139" t="str">
        <f>IF('0 AVAL'!B40 = "", "", '0 AVAL'!B40)</f>
        <v/>
      </c>
      <c r="C32" s="139" t="str">
        <f>IF('0 AVAL'!C40 = "", "", '0 AVAL'!C40)</f>
        <v/>
      </c>
      <c r="D32" s="121"/>
      <c r="E32" s="306"/>
      <c r="F32" s="172"/>
      <c r="G32" s="172"/>
      <c r="H32" s="172"/>
      <c r="I32" s="172"/>
      <c r="J32" s="172"/>
      <c r="K32" s="172"/>
      <c r="L32" s="172"/>
      <c r="M32" s="172"/>
      <c r="N32" s="222"/>
    </row>
    <row r="33" spans="1:14" ht="47.25" customHeight="1" x14ac:dyDescent="0.25">
      <c r="A33" s="3">
        <v>6</v>
      </c>
      <c r="B33" s="139" t="str">
        <f>IF('0 AVAL'!B41 = "", "", '0 AVAL'!B41)</f>
        <v/>
      </c>
      <c r="C33" s="139" t="str">
        <f>IF('0 AVAL'!C41 = "", "", '0 AVAL'!C41)</f>
        <v/>
      </c>
      <c r="D33" s="121"/>
      <c r="E33" s="306"/>
      <c r="F33" s="172"/>
      <c r="G33" s="172"/>
      <c r="H33" s="172"/>
      <c r="I33" s="172"/>
      <c r="J33" s="172"/>
      <c r="K33" s="172"/>
      <c r="L33" s="172"/>
      <c r="M33" s="172"/>
      <c r="N33" s="222"/>
    </row>
    <row r="34" spans="1:14" ht="47.25" customHeight="1" x14ac:dyDescent="0.25">
      <c r="A34" s="3">
        <v>7</v>
      </c>
      <c r="B34" s="139" t="str">
        <f>IF('0 AVAL'!B42 = "", "", '0 AVAL'!B42)</f>
        <v/>
      </c>
      <c r="C34" s="139" t="str">
        <f>IF('0 AVAL'!C42 = "", "", '0 AVAL'!C42)</f>
        <v/>
      </c>
      <c r="D34" s="121"/>
      <c r="E34" s="306"/>
      <c r="F34" s="172"/>
      <c r="G34" s="172"/>
      <c r="H34" s="172"/>
      <c r="I34" s="172"/>
      <c r="J34" s="172"/>
      <c r="K34" s="172"/>
      <c r="L34" s="172"/>
      <c r="M34" s="172"/>
      <c r="N34" s="222"/>
    </row>
    <row r="35" spans="1:14" ht="47.25" customHeight="1" x14ac:dyDescent="0.25">
      <c r="A35" s="3">
        <v>8</v>
      </c>
      <c r="B35" s="139" t="str">
        <f>IF('0 AVAL'!B43 = "", "", '0 AVAL'!B43)</f>
        <v/>
      </c>
      <c r="C35" s="139" t="str">
        <f>IF('0 AVAL'!C43 = "", "", '0 AVAL'!C43)</f>
        <v/>
      </c>
      <c r="D35" s="121"/>
      <c r="E35" s="306"/>
      <c r="F35" s="172"/>
      <c r="G35" s="172"/>
      <c r="H35" s="172"/>
      <c r="I35" s="172"/>
      <c r="J35" s="172"/>
      <c r="K35" s="172"/>
      <c r="L35" s="172"/>
      <c r="M35" s="172"/>
      <c r="N35" s="222"/>
    </row>
    <row r="36" spans="1:14" ht="47.25" customHeight="1" x14ac:dyDescent="0.25">
      <c r="A36" s="3">
        <v>9</v>
      </c>
      <c r="B36" s="139" t="str">
        <f>IF('0 AVAL'!B44 = "", "", '0 AVAL'!B44)</f>
        <v/>
      </c>
      <c r="C36" s="139" t="str">
        <f>IF('0 AVAL'!C44 = "", "", '0 AVAL'!C44)</f>
        <v/>
      </c>
      <c r="D36" s="121"/>
      <c r="E36" s="306"/>
      <c r="F36" s="172"/>
      <c r="G36" s="172"/>
      <c r="H36" s="172"/>
      <c r="I36" s="172"/>
      <c r="J36" s="172"/>
      <c r="K36" s="172"/>
      <c r="L36" s="172"/>
      <c r="M36" s="172"/>
      <c r="N36" s="222"/>
    </row>
    <row r="37" spans="1:14" ht="47.25" customHeight="1" x14ac:dyDescent="0.25">
      <c r="A37" s="3">
        <v>10</v>
      </c>
      <c r="B37" s="139" t="str">
        <f>IF('0 AVAL'!B45 = "", "", '0 AVAL'!B45)</f>
        <v/>
      </c>
      <c r="C37" s="139" t="str">
        <f>IF('0 AVAL'!C45 = "", "", '0 AVAL'!C45)</f>
        <v/>
      </c>
      <c r="D37" s="121"/>
      <c r="E37" s="306"/>
      <c r="F37" s="172"/>
      <c r="G37" s="172"/>
      <c r="H37" s="172"/>
      <c r="I37" s="172"/>
      <c r="J37" s="172"/>
      <c r="K37" s="172"/>
      <c r="L37" s="172"/>
      <c r="M37" s="172"/>
      <c r="N37" s="222"/>
    </row>
    <row r="38" spans="1:14" ht="47.25" customHeight="1" x14ac:dyDescent="0.25">
      <c r="A38" s="3">
        <v>11</v>
      </c>
      <c r="B38" s="139" t="str">
        <f>IF('0 AVAL'!B46 = "", "", '0 AVAL'!B46)</f>
        <v/>
      </c>
      <c r="C38" s="139" t="str">
        <f>IF('0 AVAL'!C46 = "", "", '0 AVAL'!C46)</f>
        <v/>
      </c>
      <c r="D38" s="121"/>
      <c r="E38" s="306"/>
      <c r="F38" s="172"/>
      <c r="G38" s="172"/>
      <c r="H38" s="172"/>
      <c r="I38" s="172"/>
      <c r="J38" s="172"/>
      <c r="K38" s="172"/>
      <c r="L38" s="172"/>
      <c r="M38" s="172"/>
      <c r="N38" s="222"/>
    </row>
    <row r="39" spans="1:14" ht="47.25" customHeight="1" x14ac:dyDescent="0.25">
      <c r="A39" s="3">
        <v>12</v>
      </c>
      <c r="B39" s="139" t="str">
        <f>IF('0 AVAL'!B47 = "", "", '0 AVAL'!B47)</f>
        <v/>
      </c>
      <c r="C39" s="139" t="str">
        <f>IF('0 AVAL'!C47 = "", "", '0 AVAL'!C47)</f>
        <v/>
      </c>
      <c r="D39" s="121"/>
      <c r="E39" s="306"/>
      <c r="F39" s="172"/>
      <c r="G39" s="172"/>
      <c r="H39" s="172"/>
      <c r="I39" s="172"/>
      <c r="J39" s="172"/>
      <c r="K39" s="172"/>
      <c r="L39" s="172"/>
      <c r="M39" s="172"/>
      <c r="N39" s="222"/>
    </row>
    <row r="40" spans="1:14" ht="47.25" customHeight="1" x14ac:dyDescent="0.25">
      <c r="A40" s="3">
        <v>13</v>
      </c>
      <c r="B40" s="139" t="str">
        <f>IF('0 AVAL'!B48 = "", "", '0 AVAL'!B48)</f>
        <v/>
      </c>
      <c r="C40" s="139" t="str">
        <f>IF('0 AVAL'!C48 = "", "", '0 AVAL'!C48)</f>
        <v/>
      </c>
      <c r="D40" s="121"/>
      <c r="E40" s="306"/>
      <c r="F40" s="172"/>
      <c r="G40" s="172"/>
      <c r="H40" s="172"/>
      <c r="I40" s="172"/>
      <c r="J40" s="172"/>
      <c r="K40" s="172"/>
      <c r="L40" s="172"/>
      <c r="M40" s="172"/>
      <c r="N40" s="222"/>
    </row>
    <row r="41" spans="1:14" ht="47.25" customHeight="1" x14ac:dyDescent="0.25">
      <c r="A41" s="3">
        <v>14</v>
      </c>
      <c r="B41" s="139" t="str">
        <f>IF('0 AVAL'!B49 = "", "", '0 AVAL'!B49)</f>
        <v/>
      </c>
      <c r="C41" s="139" t="str">
        <f>IF('0 AVAL'!C49 = "", "", '0 AVAL'!C49)</f>
        <v/>
      </c>
      <c r="D41" s="121"/>
      <c r="E41" s="306"/>
      <c r="F41" s="172"/>
      <c r="G41" s="172"/>
      <c r="H41" s="172"/>
      <c r="I41" s="172"/>
      <c r="J41" s="172"/>
      <c r="K41" s="172"/>
      <c r="L41" s="172"/>
      <c r="M41" s="172"/>
      <c r="N41" s="222"/>
    </row>
    <row r="42" spans="1:14" ht="47.25" customHeight="1" x14ac:dyDescent="0.25">
      <c r="A42" s="3">
        <v>15</v>
      </c>
      <c r="B42" s="139" t="str">
        <f>IF('0 AVAL'!B50 = "", "", '0 AVAL'!B50)</f>
        <v/>
      </c>
      <c r="C42" s="139" t="str">
        <f>IF('0 AVAL'!C50 = "", "", '0 AVAL'!C50)</f>
        <v/>
      </c>
      <c r="D42" s="121"/>
      <c r="E42" s="306"/>
      <c r="F42" s="172"/>
      <c r="G42" s="172"/>
      <c r="H42" s="172"/>
      <c r="I42" s="172"/>
      <c r="J42" s="172"/>
      <c r="K42" s="172"/>
      <c r="L42" s="172"/>
      <c r="M42" s="172"/>
      <c r="N42" s="222"/>
    </row>
    <row r="43" spans="1:14" ht="47.25" customHeight="1" x14ac:dyDescent="0.25">
      <c r="A43" s="3">
        <v>16</v>
      </c>
      <c r="B43" s="139" t="str">
        <f>IF('0 AVAL'!B51 = "", "", '0 AVAL'!B51)</f>
        <v/>
      </c>
      <c r="C43" s="139" t="str">
        <f>IF('0 AVAL'!C51 = "", "", '0 AVAL'!C51)</f>
        <v/>
      </c>
      <c r="D43" s="121"/>
      <c r="E43" s="306"/>
      <c r="F43" s="172"/>
      <c r="G43" s="172"/>
      <c r="H43" s="172"/>
      <c r="I43" s="172"/>
      <c r="J43" s="172"/>
      <c r="K43" s="172"/>
      <c r="L43" s="172"/>
      <c r="M43" s="172"/>
      <c r="N43" s="222"/>
    </row>
    <row r="44" spans="1:14" ht="47.25" customHeight="1" x14ac:dyDescent="0.25">
      <c r="A44" s="3">
        <v>17</v>
      </c>
      <c r="B44" s="139" t="str">
        <f>IF('0 AVAL'!B52 = "", "", '0 AVAL'!B52)</f>
        <v/>
      </c>
      <c r="C44" s="139" t="str">
        <f>IF('0 AVAL'!C52 = "", "", '0 AVAL'!C52)</f>
        <v/>
      </c>
      <c r="D44" s="121"/>
      <c r="E44" s="306"/>
      <c r="F44" s="172"/>
      <c r="G44" s="172"/>
      <c r="H44" s="172"/>
      <c r="I44" s="172"/>
      <c r="J44" s="172"/>
      <c r="K44" s="172"/>
      <c r="L44" s="172"/>
      <c r="M44" s="172"/>
      <c r="N44" s="222"/>
    </row>
    <row r="45" spans="1:14" ht="47.25" customHeight="1" x14ac:dyDescent="0.25">
      <c r="A45" s="3">
        <v>18</v>
      </c>
      <c r="B45" s="139" t="str">
        <f>IF('0 AVAL'!B53 = "", "", '0 AVAL'!B53)</f>
        <v/>
      </c>
      <c r="C45" s="139" t="str">
        <f>IF('0 AVAL'!C53 = "", "", '0 AVAL'!C53)</f>
        <v/>
      </c>
      <c r="D45" s="121"/>
      <c r="E45" s="306"/>
      <c r="F45" s="172"/>
      <c r="G45" s="172"/>
      <c r="H45" s="172"/>
      <c r="I45" s="172"/>
      <c r="J45" s="172"/>
      <c r="K45" s="172"/>
      <c r="L45" s="172"/>
      <c r="M45" s="172"/>
      <c r="N45" s="222"/>
    </row>
    <row r="46" spans="1:14" ht="47.25" customHeight="1" x14ac:dyDescent="0.25">
      <c r="A46" s="3">
        <v>19</v>
      </c>
      <c r="B46" s="139" t="str">
        <f>IF('0 AVAL'!B54 = "", "", '0 AVAL'!B54)</f>
        <v/>
      </c>
      <c r="C46" s="139" t="str">
        <f>IF('0 AVAL'!C54 = "", "", '0 AVAL'!C54)</f>
        <v/>
      </c>
      <c r="D46" s="121"/>
      <c r="E46" s="306"/>
      <c r="F46" s="172"/>
      <c r="G46" s="172"/>
      <c r="H46" s="172"/>
      <c r="I46" s="172"/>
      <c r="J46" s="172"/>
      <c r="K46" s="172"/>
      <c r="L46" s="172"/>
      <c r="M46" s="172"/>
      <c r="N46" s="222"/>
    </row>
    <row r="47" spans="1:14" ht="47.25" customHeight="1" x14ac:dyDescent="0.25">
      <c r="A47" s="3">
        <v>20</v>
      </c>
      <c r="B47" s="139" t="str">
        <f>IF('0 AVAL'!B55 = "", "", '0 AVAL'!B55)</f>
        <v/>
      </c>
      <c r="C47" s="139" t="str">
        <f>IF('0 AVAL'!C55 = "", "", '0 AVAL'!C55)</f>
        <v/>
      </c>
      <c r="D47" s="121"/>
      <c r="E47" s="306"/>
      <c r="F47" s="172"/>
      <c r="G47" s="172"/>
      <c r="H47" s="172"/>
      <c r="I47" s="172"/>
      <c r="J47" s="172"/>
      <c r="K47" s="172"/>
      <c r="L47" s="172"/>
      <c r="M47" s="172"/>
      <c r="N47" s="222"/>
    </row>
    <row r="48" spans="1:14" ht="47.25" customHeight="1" x14ac:dyDescent="0.25">
      <c r="A48" s="3">
        <v>21</v>
      </c>
      <c r="B48" s="139" t="str">
        <f>IF('0 AVAL'!B56 = "", "", '0 AVAL'!B56)</f>
        <v/>
      </c>
      <c r="C48" s="139" t="str">
        <f>IF('0 AVAL'!C56 = "", "", '0 AVAL'!C56)</f>
        <v/>
      </c>
      <c r="D48" s="121"/>
      <c r="E48" s="306"/>
      <c r="F48" s="172"/>
      <c r="G48" s="172"/>
      <c r="H48" s="172"/>
      <c r="I48" s="172"/>
      <c r="J48" s="172"/>
      <c r="K48" s="172"/>
      <c r="L48" s="172"/>
      <c r="M48" s="172"/>
      <c r="N48" s="222"/>
    </row>
    <row r="49" spans="1:14" ht="47.25" customHeight="1" x14ac:dyDescent="0.25">
      <c r="A49" s="3">
        <v>22</v>
      </c>
      <c r="B49" s="139" t="str">
        <f>IF('0 AVAL'!B57 = "", "", '0 AVAL'!B57)</f>
        <v/>
      </c>
      <c r="C49" s="139" t="str">
        <f>IF('0 AVAL'!C57 = "", "", '0 AVAL'!C57)</f>
        <v/>
      </c>
      <c r="D49" s="121"/>
      <c r="E49" s="306"/>
      <c r="F49" s="172"/>
      <c r="G49" s="172"/>
      <c r="H49" s="172"/>
      <c r="I49" s="172"/>
      <c r="J49" s="172"/>
      <c r="K49" s="172"/>
      <c r="L49" s="172"/>
      <c r="M49" s="172"/>
      <c r="N49" s="222"/>
    </row>
    <row r="50" spans="1:14" ht="47.25" customHeight="1" x14ac:dyDescent="0.25">
      <c r="A50" s="3">
        <v>23</v>
      </c>
      <c r="B50" s="139" t="str">
        <f>IF('0 AVAL'!B58 = "", "", '0 AVAL'!B58)</f>
        <v/>
      </c>
      <c r="C50" s="139" t="str">
        <f>IF('0 AVAL'!C58 = "", "", '0 AVAL'!C58)</f>
        <v/>
      </c>
      <c r="D50" s="121"/>
      <c r="E50" s="306"/>
      <c r="F50" s="172"/>
      <c r="G50" s="172"/>
      <c r="H50" s="172"/>
      <c r="I50" s="172"/>
      <c r="J50" s="172"/>
      <c r="K50" s="172"/>
      <c r="L50" s="172"/>
      <c r="M50" s="172"/>
      <c r="N50" s="222"/>
    </row>
    <row r="51" spans="1:14" ht="47.25" customHeight="1" x14ac:dyDescent="0.25">
      <c r="A51" s="3">
        <v>24</v>
      </c>
      <c r="B51" s="139" t="str">
        <f>IF('0 AVAL'!B59 = "", "", '0 AVAL'!B59)</f>
        <v/>
      </c>
      <c r="C51" s="139" t="str">
        <f>IF('0 AVAL'!C59 = "", "", '0 AVAL'!C59)</f>
        <v/>
      </c>
      <c r="D51" s="121"/>
      <c r="E51" s="306"/>
      <c r="F51" s="172"/>
      <c r="G51" s="172"/>
      <c r="H51" s="172"/>
      <c r="I51" s="172"/>
      <c r="J51" s="172"/>
      <c r="K51" s="172"/>
      <c r="L51" s="172"/>
      <c r="M51" s="172"/>
      <c r="N51" s="222"/>
    </row>
    <row r="52" spans="1:14" ht="47.25" customHeight="1" x14ac:dyDescent="0.25">
      <c r="A52" s="3">
        <v>25</v>
      </c>
      <c r="B52" s="139" t="str">
        <f>IF('0 AVAL'!B60 = "", "", '0 AVAL'!B60)</f>
        <v/>
      </c>
      <c r="C52" s="139" t="str">
        <f>IF('0 AVAL'!C60 = "", "", '0 AVAL'!C60)</f>
        <v/>
      </c>
      <c r="D52" s="121"/>
      <c r="E52" s="306"/>
      <c r="F52" s="172"/>
      <c r="G52" s="172"/>
      <c r="H52" s="172"/>
      <c r="I52" s="172"/>
      <c r="J52" s="172"/>
      <c r="K52" s="172"/>
      <c r="L52" s="172"/>
      <c r="M52" s="172"/>
      <c r="N52" s="222"/>
    </row>
    <row r="53" spans="1:14" ht="47.25" customHeight="1" x14ac:dyDescent="0.25">
      <c r="A53" s="3">
        <v>26</v>
      </c>
      <c r="B53" s="139" t="str">
        <f>IF('0 AVAL'!B61 = "", "", '0 AVAL'!B61)</f>
        <v/>
      </c>
      <c r="C53" s="139" t="str">
        <f>IF('0 AVAL'!C61 = "", "", '0 AVAL'!C61)</f>
        <v/>
      </c>
      <c r="D53" s="121"/>
      <c r="E53" s="306"/>
      <c r="F53" s="172"/>
      <c r="G53" s="172"/>
      <c r="H53" s="172"/>
      <c r="I53" s="172"/>
      <c r="J53" s="172"/>
      <c r="K53" s="172"/>
      <c r="L53" s="172"/>
      <c r="M53" s="172"/>
      <c r="N53" s="222"/>
    </row>
    <row r="54" spans="1:14" ht="47.25" customHeight="1" x14ac:dyDescent="0.25">
      <c r="A54" s="3">
        <v>27</v>
      </c>
      <c r="B54" s="139" t="str">
        <f>IF('0 AVAL'!B62 = "", "", '0 AVAL'!B62)</f>
        <v/>
      </c>
      <c r="C54" s="139" t="str">
        <f>IF('0 AVAL'!C62 = "", "", '0 AVAL'!C62)</f>
        <v/>
      </c>
      <c r="D54" s="121"/>
      <c r="E54" s="306"/>
      <c r="F54" s="172"/>
      <c r="G54" s="172"/>
      <c r="H54" s="172"/>
      <c r="I54" s="172"/>
      <c r="J54" s="172"/>
      <c r="K54" s="172"/>
      <c r="L54" s="172"/>
      <c r="M54" s="172"/>
      <c r="N54" s="222"/>
    </row>
    <row r="55" spans="1:14" ht="47.25" customHeight="1" x14ac:dyDescent="0.25">
      <c r="A55" s="3">
        <v>28</v>
      </c>
      <c r="B55" s="139" t="str">
        <f>IF('0 AVAL'!B63 = "", "", '0 AVAL'!B63)</f>
        <v/>
      </c>
      <c r="C55" s="139" t="str">
        <f>IF('0 AVAL'!C63 = "", "", '0 AVAL'!C63)</f>
        <v/>
      </c>
      <c r="D55" s="121"/>
      <c r="E55" s="306"/>
      <c r="F55" s="172"/>
      <c r="G55" s="172"/>
      <c r="H55" s="172"/>
      <c r="I55" s="172"/>
      <c r="J55" s="172"/>
      <c r="K55" s="172"/>
      <c r="L55" s="172"/>
      <c r="M55" s="172"/>
      <c r="N55" s="222"/>
    </row>
    <row r="56" spans="1:14" ht="47.25" customHeight="1" x14ac:dyDescent="0.25">
      <c r="A56" s="3">
        <v>29</v>
      </c>
      <c r="B56" s="139" t="str">
        <f>IF('0 AVAL'!B64 = "", "", '0 AVAL'!B64)</f>
        <v/>
      </c>
      <c r="C56" s="139" t="str">
        <f>IF('0 AVAL'!C64 = "", "", '0 AVAL'!C64)</f>
        <v/>
      </c>
      <c r="D56" s="121"/>
      <c r="E56" s="306"/>
      <c r="F56" s="172"/>
      <c r="G56" s="172"/>
      <c r="H56" s="172"/>
      <c r="I56" s="172"/>
      <c r="J56" s="172"/>
      <c r="K56" s="172"/>
      <c r="L56" s="172"/>
      <c r="M56" s="172"/>
      <c r="N56" s="222"/>
    </row>
    <row r="57" spans="1:14" ht="47.25" customHeight="1" x14ac:dyDescent="0.25">
      <c r="A57" s="3">
        <v>30</v>
      </c>
      <c r="B57" s="139" t="str">
        <f>IF('0 AVAL'!B65 = "", "", '0 AVAL'!B65)</f>
        <v/>
      </c>
      <c r="C57" s="139" t="str">
        <f>IF('0 AVAL'!C65 = "", "", '0 AVAL'!C65)</f>
        <v/>
      </c>
      <c r="D57" s="121"/>
      <c r="E57" s="306"/>
      <c r="F57" s="172"/>
      <c r="G57" s="172"/>
      <c r="H57" s="172"/>
      <c r="I57" s="172"/>
      <c r="J57" s="172"/>
      <c r="K57" s="172"/>
      <c r="L57" s="172"/>
      <c r="M57" s="172"/>
      <c r="N57" s="222"/>
    </row>
    <row r="58" spans="1:14" ht="47.25" customHeight="1" x14ac:dyDescent="0.25">
      <c r="A58" s="3">
        <v>31</v>
      </c>
      <c r="B58" s="139" t="str">
        <f>IF('0 AVAL'!B66 = "", "", '0 AVAL'!B66)</f>
        <v/>
      </c>
      <c r="C58" s="139" t="str">
        <f>IF('0 AVAL'!C66 = "", "", '0 AVAL'!C66)</f>
        <v/>
      </c>
      <c r="D58" s="121"/>
      <c r="E58" s="157"/>
      <c r="F58" s="158"/>
      <c r="G58" s="158"/>
      <c r="H58" s="158"/>
      <c r="I58" s="158"/>
      <c r="J58" s="158"/>
      <c r="K58" s="158"/>
      <c r="L58" s="158"/>
      <c r="M58" s="158"/>
      <c r="N58" s="159"/>
    </row>
    <row r="59" spans="1:14" ht="47.25" customHeight="1" x14ac:dyDescent="0.25">
      <c r="A59" s="3">
        <v>32</v>
      </c>
      <c r="B59" s="139" t="str">
        <f>IF('0 AVAL'!B67 = "", "", '0 AVAL'!B67)</f>
        <v/>
      </c>
      <c r="C59" s="139" t="str">
        <f>IF('0 AVAL'!C67 = "", "", '0 AVAL'!C67)</f>
        <v/>
      </c>
      <c r="D59" s="121"/>
      <c r="E59" s="157"/>
      <c r="F59" s="158"/>
      <c r="G59" s="158"/>
      <c r="H59" s="158"/>
      <c r="I59" s="158"/>
      <c r="J59" s="158"/>
      <c r="K59" s="158"/>
      <c r="L59" s="158"/>
      <c r="M59" s="158"/>
      <c r="N59" s="159"/>
    </row>
    <row r="60" spans="1:14" ht="47.25" customHeight="1" x14ac:dyDescent="0.25">
      <c r="A60" s="3">
        <v>33</v>
      </c>
      <c r="B60" s="139" t="str">
        <f>IF('0 AVAL'!B68 = "", "", '0 AVAL'!B68)</f>
        <v/>
      </c>
      <c r="C60" s="139" t="str">
        <f>IF('0 AVAL'!C68 = "", "", '0 AVAL'!C68)</f>
        <v/>
      </c>
      <c r="D60" s="121"/>
      <c r="E60" s="157"/>
      <c r="F60" s="158"/>
      <c r="G60" s="158"/>
      <c r="H60" s="158"/>
      <c r="I60" s="158"/>
      <c r="J60" s="158"/>
      <c r="K60" s="158"/>
      <c r="L60" s="158"/>
      <c r="M60" s="158"/>
      <c r="N60" s="159"/>
    </row>
    <row r="61" spans="1:14" ht="47.25" customHeight="1" x14ac:dyDescent="0.25">
      <c r="A61" s="3">
        <v>34</v>
      </c>
      <c r="B61" s="139" t="str">
        <f>IF('0 AVAL'!B69 = "", "", '0 AVAL'!B69)</f>
        <v/>
      </c>
      <c r="C61" s="139" t="str">
        <f>IF('0 AVAL'!C69 = "", "", '0 AVAL'!C69)</f>
        <v/>
      </c>
      <c r="D61" s="121"/>
      <c r="E61" s="157"/>
      <c r="F61" s="158"/>
      <c r="G61" s="158"/>
      <c r="H61" s="158"/>
      <c r="I61" s="158"/>
      <c r="J61" s="158"/>
      <c r="K61" s="158"/>
      <c r="L61" s="158"/>
      <c r="M61" s="158"/>
      <c r="N61" s="159"/>
    </row>
    <row r="62" spans="1:14" ht="47.25" customHeight="1" x14ac:dyDescent="0.25">
      <c r="A62" s="3">
        <v>35</v>
      </c>
      <c r="B62" s="139" t="str">
        <f>IF('0 AVAL'!B70 = "", "", '0 AVAL'!B70)</f>
        <v/>
      </c>
      <c r="C62" s="139" t="str">
        <f>IF('0 AVAL'!C70 = "", "", '0 AVAL'!C70)</f>
        <v/>
      </c>
      <c r="D62" s="121"/>
      <c r="E62" s="157"/>
      <c r="F62" s="158"/>
      <c r="G62" s="158"/>
      <c r="H62" s="158"/>
      <c r="I62" s="158"/>
      <c r="J62" s="158"/>
      <c r="K62" s="158"/>
      <c r="L62" s="158"/>
      <c r="M62" s="158"/>
      <c r="N62" s="159"/>
    </row>
    <row r="63" spans="1:14" ht="47.25" customHeight="1" x14ac:dyDescent="0.25">
      <c r="A63" s="3">
        <v>36</v>
      </c>
      <c r="B63" s="139" t="str">
        <f>IF('0 AVAL'!B71 = "", "", '0 AVAL'!B71)</f>
        <v/>
      </c>
      <c r="C63" s="139" t="str">
        <f>IF('0 AVAL'!C71 = "", "", '0 AVAL'!C71)</f>
        <v/>
      </c>
      <c r="D63" s="121"/>
      <c r="E63" s="306"/>
      <c r="F63" s="172"/>
      <c r="G63" s="172"/>
      <c r="H63" s="172"/>
      <c r="I63" s="172"/>
      <c r="J63" s="172"/>
      <c r="K63" s="172"/>
      <c r="L63" s="172"/>
      <c r="M63" s="172"/>
      <c r="N63" s="222"/>
    </row>
    <row r="64" spans="1:14" ht="47.25" customHeight="1" x14ac:dyDescent="0.25">
      <c r="A64" s="3">
        <v>37</v>
      </c>
      <c r="B64" s="139" t="str">
        <f>IF('0 AVAL'!B72 = "", "", '0 AVAL'!B72)</f>
        <v/>
      </c>
      <c r="C64" s="139" t="str">
        <f>IF('0 AVAL'!C72 = "", "", '0 AVAL'!C72)</f>
        <v/>
      </c>
      <c r="D64" s="121"/>
      <c r="E64" s="306"/>
      <c r="F64" s="172"/>
      <c r="G64" s="172"/>
      <c r="H64" s="172"/>
      <c r="I64" s="172"/>
      <c r="J64" s="172"/>
      <c r="K64" s="172"/>
      <c r="L64" s="172"/>
      <c r="M64" s="172"/>
      <c r="N64" s="222"/>
    </row>
    <row r="65" spans="1:14" ht="47.25" customHeight="1" x14ac:dyDescent="0.25">
      <c r="A65" s="3">
        <v>38</v>
      </c>
      <c r="B65" s="139" t="str">
        <f>IF('0 AVAL'!B73 = "", "", '0 AVAL'!B73)</f>
        <v/>
      </c>
      <c r="C65" s="139" t="str">
        <f>IF('0 AVAL'!C73 = "", "", '0 AVAL'!C73)</f>
        <v/>
      </c>
      <c r="D65" s="121"/>
      <c r="E65" s="306"/>
      <c r="F65" s="172"/>
      <c r="G65" s="172"/>
      <c r="H65" s="172"/>
      <c r="I65" s="172"/>
      <c r="J65" s="172"/>
      <c r="K65" s="172"/>
      <c r="L65" s="172"/>
      <c r="M65" s="172"/>
      <c r="N65" s="222"/>
    </row>
    <row r="66" spans="1:14" ht="47.25" customHeight="1" x14ac:dyDescent="0.25">
      <c r="A66" s="3">
        <v>39</v>
      </c>
      <c r="B66" s="139" t="str">
        <f>IF('0 AVAL'!B74 = "", "", '0 AVAL'!B74)</f>
        <v/>
      </c>
      <c r="C66" s="139" t="str">
        <f>IF('0 AVAL'!C74 = "", "", '0 AVAL'!C74)</f>
        <v/>
      </c>
      <c r="D66" s="121"/>
      <c r="E66" s="306"/>
      <c r="F66" s="172"/>
      <c r="G66" s="172"/>
      <c r="H66" s="172"/>
      <c r="I66" s="172"/>
      <c r="J66" s="172"/>
      <c r="K66" s="172"/>
      <c r="L66" s="172"/>
      <c r="M66" s="172"/>
      <c r="N66" s="222"/>
    </row>
    <row r="67" spans="1:14" ht="54.75" customHeight="1" x14ac:dyDescent="0.25">
      <c r="A67" s="3">
        <v>40</v>
      </c>
      <c r="B67" s="139" t="str">
        <f>IF('0 AVAL'!B75 = "", "", '0 AVAL'!B75)</f>
        <v/>
      </c>
      <c r="C67" s="139" t="str">
        <f>IF('0 AVAL'!C75 = "", "", '0 AVAL'!C75)</f>
        <v/>
      </c>
      <c r="D67" s="121"/>
      <c r="E67" s="306"/>
      <c r="F67" s="172"/>
      <c r="G67" s="172"/>
      <c r="H67" s="172"/>
      <c r="I67" s="172"/>
      <c r="J67" s="172"/>
      <c r="K67" s="172"/>
      <c r="L67" s="172"/>
      <c r="M67" s="172"/>
      <c r="N67" s="222"/>
    </row>
    <row r="68" spans="1:14" ht="19.5" customHeight="1" thickBot="1" x14ac:dyDescent="0.3"/>
    <row r="69" spans="1:14" s="13" customFormat="1" ht="54.75" customHeight="1" thickBot="1" x14ac:dyDescent="0.3">
      <c r="B69" s="303" t="s">
        <v>134</v>
      </c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1"/>
    </row>
    <row r="70" spans="1:14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s="5" customFormat="1" ht="34.5" customHeight="1" x14ac:dyDescent="0.25">
      <c r="A71" s="105">
        <v>1</v>
      </c>
      <c r="B71" s="219"/>
      <c r="C71" s="172"/>
      <c r="D71" s="172"/>
      <c r="E71" s="172"/>
      <c r="F71" s="172"/>
      <c r="G71" s="172"/>
      <c r="H71" s="172"/>
      <c r="I71" s="172"/>
      <c r="J71" s="227" t="s">
        <v>52</v>
      </c>
      <c r="K71" s="200"/>
      <c r="L71" s="200"/>
      <c r="M71" s="200"/>
      <c r="N71" s="201"/>
    </row>
    <row r="72" spans="1:14" s="5" customFormat="1" ht="34.5" customHeight="1" x14ac:dyDescent="0.25">
      <c r="A72" s="105">
        <v>2</v>
      </c>
      <c r="B72" s="263"/>
      <c r="C72" s="193"/>
      <c r="D72" s="193"/>
      <c r="E72" s="193"/>
      <c r="F72" s="193"/>
      <c r="G72" s="193"/>
      <c r="H72" s="193"/>
      <c r="I72" s="193"/>
      <c r="J72" s="202"/>
      <c r="K72" s="267"/>
      <c r="L72" s="267"/>
      <c r="M72" s="267"/>
      <c r="N72" s="204"/>
    </row>
    <row r="73" spans="1:14" s="5" customFormat="1" ht="34.5" customHeight="1" x14ac:dyDescent="0.25">
      <c r="A73" s="105">
        <v>3</v>
      </c>
      <c r="B73" s="263"/>
      <c r="C73" s="193"/>
      <c r="D73" s="193"/>
      <c r="E73" s="193"/>
      <c r="F73" s="193"/>
      <c r="G73" s="193"/>
      <c r="H73" s="193"/>
      <c r="I73" s="193"/>
      <c r="J73" s="202"/>
      <c r="K73" s="267"/>
      <c r="L73" s="267"/>
      <c r="M73" s="267"/>
      <c r="N73" s="204"/>
    </row>
    <row r="74" spans="1:14" s="5" customFormat="1" ht="34.5" customHeight="1" x14ac:dyDescent="0.25">
      <c r="A74" s="105">
        <v>4</v>
      </c>
      <c r="B74" s="263"/>
      <c r="C74" s="193"/>
      <c r="D74" s="193"/>
      <c r="E74" s="193"/>
      <c r="F74" s="193"/>
      <c r="G74" s="193"/>
      <c r="H74" s="193"/>
      <c r="I74" s="193"/>
      <c r="J74" s="202"/>
      <c r="K74" s="267"/>
      <c r="L74" s="267"/>
      <c r="M74" s="267"/>
      <c r="N74" s="204"/>
    </row>
    <row r="75" spans="1:14" s="5" customFormat="1" ht="34.5" customHeight="1" x14ac:dyDescent="0.25">
      <c r="A75" s="105">
        <v>5</v>
      </c>
      <c r="B75" s="263"/>
      <c r="C75" s="193"/>
      <c r="D75" s="193"/>
      <c r="E75" s="193"/>
      <c r="F75" s="193"/>
      <c r="G75" s="193"/>
      <c r="H75" s="193"/>
      <c r="I75" s="193"/>
      <c r="J75" s="202"/>
      <c r="K75" s="267"/>
      <c r="L75" s="267"/>
      <c r="M75" s="267"/>
      <c r="N75" s="204"/>
    </row>
    <row r="76" spans="1:14" s="5" customFormat="1" ht="34.5" customHeight="1" x14ac:dyDescent="0.25">
      <c r="A76" s="105">
        <v>6</v>
      </c>
      <c r="B76" s="263"/>
      <c r="C76" s="193"/>
      <c r="D76" s="193"/>
      <c r="E76" s="193"/>
      <c r="F76" s="193"/>
      <c r="G76" s="193"/>
      <c r="H76" s="193"/>
      <c r="I76" s="193"/>
      <c r="J76" s="202"/>
      <c r="K76" s="267"/>
      <c r="L76" s="267"/>
      <c r="M76" s="267"/>
      <c r="N76" s="204"/>
    </row>
    <row r="77" spans="1:14" s="5" customFormat="1" ht="34.5" customHeight="1" thickBot="1" x14ac:dyDescent="0.3">
      <c r="A77" s="105">
        <v>7</v>
      </c>
      <c r="B77" s="262"/>
      <c r="C77" s="206"/>
      <c r="D77" s="206"/>
      <c r="E77" s="206"/>
      <c r="F77" s="206"/>
      <c r="G77" s="206"/>
      <c r="H77" s="206"/>
      <c r="I77" s="206"/>
      <c r="J77" s="205"/>
      <c r="K77" s="206"/>
      <c r="L77" s="206"/>
      <c r="M77" s="206"/>
      <c r="N77" s="207"/>
    </row>
    <row r="78" spans="1:14" x14ac:dyDescent="0.25">
      <c r="B78" s="232" t="s">
        <v>53</v>
      </c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 spans="1:14" ht="15.6" customHeight="1" x14ac:dyDescent="0.25"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</row>
  </sheetData>
  <mergeCells count="66">
    <mergeCell ref="J2:N2"/>
    <mergeCell ref="J3:M3"/>
    <mergeCell ref="B14:M14"/>
    <mergeCell ref="N14:Y14"/>
    <mergeCell ref="B15:N15"/>
    <mergeCell ref="J4:M4"/>
    <mergeCell ref="B2:C6"/>
    <mergeCell ref="J6:M6"/>
    <mergeCell ref="J7:M7"/>
    <mergeCell ref="B9:N9"/>
    <mergeCell ref="E43:N43"/>
    <mergeCell ref="E29:N29"/>
    <mergeCell ref="E35:N35"/>
    <mergeCell ref="E51:N51"/>
    <mergeCell ref="E36:N36"/>
    <mergeCell ref="E49:N49"/>
    <mergeCell ref="E46:N46"/>
    <mergeCell ref="E30:N30"/>
    <mergeCell ref="B78:N79"/>
    <mergeCell ref="B25:N25"/>
    <mergeCell ref="J5:M5"/>
    <mergeCell ref="E55:N55"/>
    <mergeCell ref="E42:N42"/>
    <mergeCell ref="B73:I73"/>
    <mergeCell ref="E52:N52"/>
    <mergeCell ref="E67:N67"/>
    <mergeCell ref="E33:N33"/>
    <mergeCell ref="G2:G6"/>
    <mergeCell ref="E39:N39"/>
    <mergeCell ref="E48:N48"/>
    <mergeCell ref="B12:N12"/>
    <mergeCell ref="E64:N64"/>
    <mergeCell ref="B71:I71"/>
    <mergeCell ref="E66:N66"/>
    <mergeCell ref="B22:N23"/>
    <mergeCell ref="E47:N47"/>
    <mergeCell ref="E50:N50"/>
    <mergeCell ref="D2:F6"/>
    <mergeCell ref="N11:Y11"/>
    <mergeCell ref="E31:N31"/>
    <mergeCell ref="B11:M11"/>
    <mergeCell ref="E27:N27"/>
    <mergeCell ref="E45:N45"/>
    <mergeCell ref="E44:N44"/>
    <mergeCell ref="B18:N18"/>
    <mergeCell ref="E38:N38"/>
    <mergeCell ref="E32:N32"/>
    <mergeCell ref="B20:N20"/>
    <mergeCell ref="E41:N41"/>
    <mergeCell ref="E37:N37"/>
    <mergeCell ref="B69:N69"/>
    <mergeCell ref="J71:N77"/>
    <mergeCell ref="B77:I77"/>
    <mergeCell ref="E28:N28"/>
    <mergeCell ref="B74:I74"/>
    <mergeCell ref="B75:I75"/>
    <mergeCell ref="B72:I72"/>
    <mergeCell ref="E63:N63"/>
    <mergeCell ref="B76:I76"/>
    <mergeCell ref="E65:N65"/>
    <mergeCell ref="E56:N56"/>
    <mergeCell ref="E57:N57"/>
    <mergeCell ref="E54:N54"/>
    <mergeCell ref="E53:N53"/>
    <mergeCell ref="E40:N40"/>
    <mergeCell ref="E34:N34"/>
  </mergeCells>
  <dataValidations count="1">
    <dataValidation type="date" allowBlank="1" showInputMessage="1" showErrorMessage="1" sqref="J7:M7" xr:uid="{00000000-0002-0000-0900-000000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</sheetPr>
  <dimension ref="A1:FY79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28515625" style="1" customWidth="1"/>
    <col min="2" max="2" width="21.7109375" style="1" customWidth="1"/>
    <col min="3" max="3" width="25.28515625" style="1" customWidth="1"/>
    <col min="4" max="8" width="12.5703125" style="1" customWidth="1"/>
    <col min="9" max="9" width="16.5703125" style="1" customWidth="1"/>
    <col min="10" max="13" width="12.5703125" style="1" customWidth="1"/>
    <col min="14" max="14" width="2.7109375" style="1" customWidth="1"/>
    <col min="15" max="22" width="0" style="1" hidden="1"/>
    <col min="23" max="181" width="4.42578125" style="1" hidden="1" customWidth="1"/>
    <col min="182" max="16383" width="0" style="1" hidden="1"/>
    <col min="16384" max="16384" width="5" style="1" customWidth="1"/>
  </cols>
  <sheetData>
    <row r="1" spans="2:25" ht="29.25" customHeight="1" x14ac:dyDescent="0.25">
      <c r="B1" s="5"/>
      <c r="C1" s="5"/>
      <c r="D1" s="5"/>
      <c r="E1" s="5"/>
      <c r="F1" s="5"/>
      <c r="G1" s="5"/>
      <c r="H1" s="5"/>
      <c r="I1" s="153" t="s">
        <v>123</v>
      </c>
      <c r="J1" s="6"/>
      <c r="K1" s="6"/>
      <c r="L1" s="7" t="s">
        <v>124</v>
      </c>
      <c r="M1" s="6"/>
    </row>
    <row r="2" spans="2:25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8"/>
      <c r="J2" s="209"/>
      <c r="K2" s="209"/>
      <c r="L2" s="209"/>
      <c r="M2" s="209"/>
      <c r="N2" s="209"/>
    </row>
    <row r="3" spans="2:25" ht="15.75" customHeight="1" x14ac:dyDescent="0.25">
      <c r="B3" s="209"/>
      <c r="C3" s="209"/>
      <c r="D3" s="209"/>
      <c r="E3" s="209"/>
      <c r="F3" s="209"/>
      <c r="G3" s="209"/>
      <c r="H3" s="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2:25" ht="15.75" customHeight="1" x14ac:dyDescent="0.25">
      <c r="B4" s="209"/>
      <c r="C4" s="209"/>
      <c r="D4" s="209"/>
      <c r="E4" s="209"/>
      <c r="F4" s="209"/>
      <c r="G4" s="209"/>
      <c r="H4" s="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2:25" ht="15.75" hidden="1" customHeight="1" x14ac:dyDescent="0.25">
      <c r="B5" s="209"/>
      <c r="C5" s="209"/>
      <c r="D5" s="209"/>
      <c r="E5" s="209"/>
      <c r="F5" s="209"/>
      <c r="G5" s="209"/>
      <c r="H5" s="8"/>
      <c r="J5" s="182" t="str">
        <f>IF(ficha_alum!K5 = "", "", ficha_alum!K5)</f>
        <v/>
      </c>
      <c r="K5" s="172"/>
      <c r="L5" s="172"/>
      <c r="M5" s="172"/>
    </row>
    <row r="6" spans="2:25" ht="15.75" customHeight="1" thickBot="1" x14ac:dyDescent="0.3">
      <c r="B6" s="209"/>
      <c r="C6" s="209"/>
      <c r="D6" s="209"/>
      <c r="E6" s="209"/>
      <c r="F6" s="209"/>
      <c r="G6" s="209"/>
      <c r="H6" s="8"/>
      <c r="I6" s="47" t="s">
        <v>3</v>
      </c>
      <c r="J6" s="182" t="str">
        <f>IF(ficha_alum!K6 = "", "", ficha_alum!K6)</f>
        <v/>
      </c>
      <c r="K6" s="172"/>
      <c r="L6" s="172"/>
      <c r="M6" s="172"/>
    </row>
    <row r="7" spans="2:25" x14ac:dyDescent="0.25">
      <c r="B7" s="5"/>
      <c r="C7" s="5"/>
      <c r="D7" s="8"/>
      <c r="E7" s="8"/>
      <c r="F7" s="8"/>
      <c r="G7" s="8"/>
      <c r="H7" s="8"/>
      <c r="I7" s="49" t="s">
        <v>79</v>
      </c>
      <c r="J7" s="220"/>
      <c r="K7" s="177"/>
      <c r="L7" s="177"/>
      <c r="M7" s="177"/>
    </row>
    <row r="9" spans="2:25" s="13" customFormat="1" ht="21" customHeight="1" x14ac:dyDescent="0.25">
      <c r="B9" s="214" t="s">
        <v>125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1" spans="2:25" ht="15.6" customHeight="1" x14ac:dyDescent="0.25">
      <c r="B11" s="238" t="s">
        <v>126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38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</row>
    <row r="12" spans="2:25" ht="56.25" customHeight="1" x14ac:dyDescent="0.25">
      <c r="B12" s="309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260"/>
    </row>
    <row r="14" spans="2:25" x14ac:dyDescent="0.25">
      <c r="B14" s="238" t="s">
        <v>127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38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</row>
    <row r="15" spans="2:25" ht="56.25" customHeight="1" x14ac:dyDescent="0.25">
      <c r="B15" s="309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260"/>
    </row>
    <row r="16" spans="2:25" ht="15.75" hidden="1" customHeight="1" x14ac:dyDescent="0.25"/>
    <row r="17" spans="1:14" x14ac:dyDescent="0.25">
      <c r="B17" s="154" t="s">
        <v>128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</row>
    <row r="18" spans="1:14" ht="56.25" customHeight="1" x14ac:dyDescent="0.25">
      <c r="B18" s="309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260"/>
    </row>
    <row r="20" spans="1:14" s="13" customFormat="1" ht="21" customHeight="1" x14ac:dyDescent="0.25">
      <c r="B20" s="214" t="s">
        <v>129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</row>
    <row r="22" spans="1:14" ht="15.6" customHeight="1" x14ac:dyDescent="0.25">
      <c r="B22" s="307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75"/>
    </row>
    <row r="23" spans="1:14" ht="253.5" customHeight="1" x14ac:dyDescent="0.25">
      <c r="B23" s="308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279"/>
    </row>
    <row r="25" spans="1:14" s="13" customFormat="1" ht="21" customHeight="1" x14ac:dyDescent="0.25">
      <c r="B25" s="214" t="s">
        <v>130</v>
      </c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</row>
    <row r="27" spans="1:14" s="3" customFormat="1" ht="45.75" customHeight="1" x14ac:dyDescent="0.25">
      <c r="B27" s="155" t="s">
        <v>38</v>
      </c>
      <c r="C27" s="156" t="s">
        <v>39</v>
      </c>
      <c r="D27" s="156" t="s">
        <v>135</v>
      </c>
      <c r="E27" s="249" t="s">
        <v>132</v>
      </c>
      <c r="F27" s="172"/>
      <c r="G27" s="172"/>
      <c r="H27" s="172"/>
      <c r="I27" s="172"/>
      <c r="J27" s="172"/>
      <c r="K27" s="172"/>
      <c r="L27" s="172"/>
      <c r="M27" s="172"/>
      <c r="N27" s="222"/>
    </row>
    <row r="28" spans="1:14" ht="47.25" customHeight="1" x14ac:dyDescent="0.25">
      <c r="A28" s="3">
        <v>1</v>
      </c>
      <c r="B28" s="139" t="str">
        <f>IF('0 AVAL'!B36 = "", "", '0 AVAL'!B36)</f>
        <v/>
      </c>
      <c r="C28" s="139" t="str">
        <f>IF('0 AVAL'!C36 = "", "", '0 AVAL'!C36)</f>
        <v/>
      </c>
      <c r="D28" s="140"/>
      <c r="E28" s="304" t="s">
        <v>133</v>
      </c>
      <c r="F28" s="193"/>
      <c r="G28" s="193"/>
      <c r="H28" s="193"/>
      <c r="I28" s="193"/>
      <c r="J28" s="193"/>
      <c r="K28" s="193"/>
      <c r="L28" s="193"/>
      <c r="M28" s="193"/>
      <c r="N28" s="305"/>
    </row>
    <row r="29" spans="1:14" ht="47.25" customHeight="1" x14ac:dyDescent="0.25">
      <c r="A29" s="3">
        <v>2</v>
      </c>
      <c r="B29" s="139" t="str">
        <f>IF('0 AVAL'!B37 = "", "", '0 AVAL'!B37)</f>
        <v/>
      </c>
      <c r="C29" s="139" t="str">
        <f>IF('0 AVAL'!C37 = "", "", '0 AVAL'!C37)</f>
        <v/>
      </c>
      <c r="D29" s="121"/>
      <c r="E29" s="306"/>
      <c r="F29" s="172"/>
      <c r="G29" s="172"/>
      <c r="H29" s="172"/>
      <c r="I29" s="172"/>
      <c r="J29" s="172"/>
      <c r="K29" s="172"/>
      <c r="L29" s="172"/>
      <c r="M29" s="172"/>
      <c r="N29" s="222"/>
    </row>
    <row r="30" spans="1:14" ht="47.25" customHeight="1" x14ac:dyDescent="0.25">
      <c r="A30" s="3">
        <v>3</v>
      </c>
      <c r="B30" s="139" t="str">
        <f>IF('0 AVAL'!B38 = "", "", '0 AVAL'!B38)</f>
        <v/>
      </c>
      <c r="C30" s="139" t="str">
        <f>IF('0 AVAL'!C38 = "", "", '0 AVAL'!C38)</f>
        <v/>
      </c>
      <c r="D30" s="121"/>
      <c r="E30" s="306"/>
      <c r="F30" s="172"/>
      <c r="G30" s="172"/>
      <c r="H30" s="172"/>
      <c r="I30" s="172"/>
      <c r="J30" s="172"/>
      <c r="K30" s="172"/>
      <c r="L30" s="172"/>
      <c r="M30" s="172"/>
      <c r="N30" s="222"/>
    </row>
    <row r="31" spans="1:14" ht="47.25" customHeight="1" x14ac:dyDescent="0.25">
      <c r="A31" s="3">
        <v>4</v>
      </c>
      <c r="B31" s="139" t="str">
        <f>IF('0 AVAL'!B39 = "", "", '0 AVAL'!B39)</f>
        <v/>
      </c>
      <c r="C31" s="139" t="str">
        <f>IF('0 AVAL'!C39 = "", "", '0 AVAL'!C39)</f>
        <v/>
      </c>
      <c r="D31" s="121"/>
      <c r="E31" s="306"/>
      <c r="F31" s="172"/>
      <c r="G31" s="172"/>
      <c r="H31" s="172"/>
      <c r="I31" s="172"/>
      <c r="J31" s="172"/>
      <c r="K31" s="172"/>
      <c r="L31" s="172"/>
      <c r="M31" s="172"/>
      <c r="N31" s="222"/>
    </row>
    <row r="32" spans="1:14" ht="47.25" customHeight="1" x14ac:dyDescent="0.25">
      <c r="A32" s="3">
        <v>5</v>
      </c>
      <c r="B32" s="139" t="str">
        <f>IF('0 AVAL'!B40 = "", "", '0 AVAL'!B40)</f>
        <v/>
      </c>
      <c r="C32" s="139" t="str">
        <f>IF('0 AVAL'!C40 = "", "", '0 AVAL'!C40)</f>
        <v/>
      </c>
      <c r="D32" s="121"/>
      <c r="E32" s="306"/>
      <c r="F32" s="172"/>
      <c r="G32" s="172"/>
      <c r="H32" s="172"/>
      <c r="I32" s="172"/>
      <c r="J32" s="172"/>
      <c r="K32" s="172"/>
      <c r="L32" s="172"/>
      <c r="M32" s="172"/>
      <c r="N32" s="222"/>
    </row>
    <row r="33" spans="1:14" ht="47.25" customHeight="1" x14ac:dyDescent="0.25">
      <c r="A33" s="3">
        <v>6</v>
      </c>
      <c r="B33" s="139" t="str">
        <f>IF('0 AVAL'!B41 = "", "", '0 AVAL'!B41)</f>
        <v/>
      </c>
      <c r="C33" s="139" t="str">
        <f>IF('0 AVAL'!C41 = "", "", '0 AVAL'!C41)</f>
        <v/>
      </c>
      <c r="D33" s="121"/>
      <c r="E33" s="306"/>
      <c r="F33" s="172"/>
      <c r="G33" s="172"/>
      <c r="H33" s="172"/>
      <c r="I33" s="172"/>
      <c r="J33" s="172"/>
      <c r="K33" s="172"/>
      <c r="L33" s="172"/>
      <c r="M33" s="172"/>
      <c r="N33" s="222"/>
    </row>
    <row r="34" spans="1:14" ht="47.25" customHeight="1" x14ac:dyDescent="0.25">
      <c r="A34" s="3">
        <v>7</v>
      </c>
      <c r="B34" s="139" t="str">
        <f>IF('0 AVAL'!B42 = "", "", '0 AVAL'!B42)</f>
        <v/>
      </c>
      <c r="C34" s="139" t="str">
        <f>IF('0 AVAL'!C42 = "", "", '0 AVAL'!C42)</f>
        <v/>
      </c>
      <c r="D34" s="121"/>
      <c r="E34" s="306"/>
      <c r="F34" s="172"/>
      <c r="G34" s="172"/>
      <c r="H34" s="172"/>
      <c r="I34" s="172"/>
      <c r="J34" s="172"/>
      <c r="K34" s="172"/>
      <c r="L34" s="172"/>
      <c r="M34" s="172"/>
      <c r="N34" s="222"/>
    </row>
    <row r="35" spans="1:14" ht="47.25" customHeight="1" x14ac:dyDescent="0.25">
      <c r="A35" s="3">
        <v>8</v>
      </c>
      <c r="B35" s="139" t="str">
        <f>IF('0 AVAL'!B43 = "", "", '0 AVAL'!B43)</f>
        <v/>
      </c>
      <c r="C35" s="139" t="str">
        <f>IF('0 AVAL'!C43 = "", "", '0 AVAL'!C43)</f>
        <v/>
      </c>
      <c r="D35" s="121"/>
      <c r="E35" s="306"/>
      <c r="F35" s="172"/>
      <c r="G35" s="172"/>
      <c r="H35" s="172"/>
      <c r="I35" s="172"/>
      <c r="J35" s="172"/>
      <c r="K35" s="172"/>
      <c r="L35" s="172"/>
      <c r="M35" s="172"/>
      <c r="N35" s="222"/>
    </row>
    <row r="36" spans="1:14" ht="47.25" customHeight="1" x14ac:dyDescent="0.25">
      <c r="A36" s="3">
        <v>9</v>
      </c>
      <c r="B36" s="139" t="str">
        <f>IF('0 AVAL'!B44 = "", "", '0 AVAL'!B44)</f>
        <v/>
      </c>
      <c r="C36" s="139" t="str">
        <f>IF('0 AVAL'!C44 = "", "", '0 AVAL'!C44)</f>
        <v/>
      </c>
      <c r="D36" s="121"/>
      <c r="E36" s="306"/>
      <c r="F36" s="172"/>
      <c r="G36" s="172"/>
      <c r="H36" s="172"/>
      <c r="I36" s="172"/>
      <c r="J36" s="172"/>
      <c r="K36" s="172"/>
      <c r="L36" s="172"/>
      <c r="M36" s="172"/>
      <c r="N36" s="222"/>
    </row>
    <row r="37" spans="1:14" ht="47.25" customHeight="1" x14ac:dyDescent="0.25">
      <c r="A37" s="3">
        <v>10</v>
      </c>
      <c r="B37" s="139" t="str">
        <f>IF('0 AVAL'!B45 = "", "", '0 AVAL'!B45)</f>
        <v/>
      </c>
      <c r="C37" s="139" t="str">
        <f>IF('0 AVAL'!C45 = "", "", '0 AVAL'!C45)</f>
        <v/>
      </c>
      <c r="D37" s="121"/>
      <c r="E37" s="306"/>
      <c r="F37" s="172"/>
      <c r="G37" s="172"/>
      <c r="H37" s="172"/>
      <c r="I37" s="172"/>
      <c r="J37" s="172"/>
      <c r="K37" s="172"/>
      <c r="L37" s="172"/>
      <c r="M37" s="172"/>
      <c r="N37" s="222"/>
    </row>
    <row r="38" spans="1:14" ht="47.25" customHeight="1" x14ac:dyDescent="0.25">
      <c r="A38" s="3">
        <v>11</v>
      </c>
      <c r="B38" s="139" t="str">
        <f>IF('0 AVAL'!B46 = "", "", '0 AVAL'!B46)</f>
        <v/>
      </c>
      <c r="C38" s="139" t="str">
        <f>IF('0 AVAL'!C46 = "", "", '0 AVAL'!C46)</f>
        <v/>
      </c>
      <c r="D38" s="121"/>
      <c r="E38" s="306"/>
      <c r="F38" s="172"/>
      <c r="G38" s="172"/>
      <c r="H38" s="172"/>
      <c r="I38" s="172"/>
      <c r="J38" s="172"/>
      <c r="K38" s="172"/>
      <c r="L38" s="172"/>
      <c r="M38" s="172"/>
      <c r="N38" s="222"/>
    </row>
    <row r="39" spans="1:14" ht="47.25" customHeight="1" x14ac:dyDescent="0.25">
      <c r="A39" s="3">
        <v>12</v>
      </c>
      <c r="B39" s="139" t="str">
        <f>IF('0 AVAL'!B47 = "", "", '0 AVAL'!B47)</f>
        <v/>
      </c>
      <c r="C39" s="139" t="str">
        <f>IF('0 AVAL'!C47 = "", "", '0 AVAL'!C47)</f>
        <v/>
      </c>
      <c r="D39" s="121"/>
      <c r="E39" s="306"/>
      <c r="F39" s="172"/>
      <c r="G39" s="172"/>
      <c r="H39" s="172"/>
      <c r="I39" s="172"/>
      <c r="J39" s="172"/>
      <c r="K39" s="172"/>
      <c r="L39" s="172"/>
      <c r="M39" s="172"/>
      <c r="N39" s="222"/>
    </row>
    <row r="40" spans="1:14" ht="47.25" customHeight="1" x14ac:dyDescent="0.25">
      <c r="A40" s="3">
        <v>13</v>
      </c>
      <c r="B40" s="139" t="str">
        <f>IF('0 AVAL'!B48 = "", "", '0 AVAL'!B48)</f>
        <v/>
      </c>
      <c r="C40" s="139" t="str">
        <f>IF('0 AVAL'!C48 = "", "", '0 AVAL'!C48)</f>
        <v/>
      </c>
      <c r="D40" s="121"/>
      <c r="E40" s="306"/>
      <c r="F40" s="172"/>
      <c r="G40" s="172"/>
      <c r="H40" s="172"/>
      <c r="I40" s="172"/>
      <c r="J40" s="172"/>
      <c r="K40" s="172"/>
      <c r="L40" s="172"/>
      <c r="M40" s="172"/>
      <c r="N40" s="222"/>
    </row>
    <row r="41" spans="1:14" ht="47.25" customHeight="1" x14ac:dyDescent="0.25">
      <c r="A41" s="3">
        <v>14</v>
      </c>
      <c r="B41" s="139" t="str">
        <f>IF('0 AVAL'!B49 = "", "", '0 AVAL'!B49)</f>
        <v/>
      </c>
      <c r="C41" s="139" t="str">
        <f>IF('0 AVAL'!C49 = "", "", '0 AVAL'!C49)</f>
        <v/>
      </c>
      <c r="D41" s="121"/>
      <c r="E41" s="306"/>
      <c r="F41" s="172"/>
      <c r="G41" s="172"/>
      <c r="H41" s="172"/>
      <c r="I41" s="172"/>
      <c r="J41" s="172"/>
      <c r="K41" s="172"/>
      <c r="L41" s="172"/>
      <c r="M41" s="172"/>
      <c r="N41" s="222"/>
    </row>
    <row r="42" spans="1:14" ht="47.25" customHeight="1" x14ac:dyDescent="0.25">
      <c r="A42" s="3">
        <v>15</v>
      </c>
      <c r="B42" s="139" t="str">
        <f>IF('0 AVAL'!B50 = "", "", '0 AVAL'!B50)</f>
        <v/>
      </c>
      <c r="C42" s="139" t="str">
        <f>IF('0 AVAL'!C50 = "", "", '0 AVAL'!C50)</f>
        <v/>
      </c>
      <c r="D42" s="121"/>
      <c r="E42" s="306"/>
      <c r="F42" s="172"/>
      <c r="G42" s="172"/>
      <c r="H42" s="172"/>
      <c r="I42" s="172"/>
      <c r="J42" s="172"/>
      <c r="K42" s="172"/>
      <c r="L42" s="172"/>
      <c r="M42" s="172"/>
      <c r="N42" s="222"/>
    </row>
    <row r="43" spans="1:14" ht="47.25" customHeight="1" x14ac:dyDescent="0.25">
      <c r="A43" s="3">
        <v>16</v>
      </c>
      <c r="B43" s="139" t="str">
        <f>IF('0 AVAL'!B51 = "", "", '0 AVAL'!B51)</f>
        <v/>
      </c>
      <c r="C43" s="139" t="str">
        <f>IF('0 AVAL'!C51 = "", "", '0 AVAL'!C51)</f>
        <v/>
      </c>
      <c r="D43" s="121"/>
      <c r="E43" s="306"/>
      <c r="F43" s="172"/>
      <c r="G43" s="172"/>
      <c r="H43" s="172"/>
      <c r="I43" s="172"/>
      <c r="J43" s="172"/>
      <c r="K43" s="172"/>
      <c r="L43" s="172"/>
      <c r="M43" s="172"/>
      <c r="N43" s="222"/>
    </row>
    <row r="44" spans="1:14" ht="47.25" customHeight="1" x14ac:dyDescent="0.25">
      <c r="A44" s="3">
        <v>17</v>
      </c>
      <c r="B44" s="139" t="str">
        <f>IF('0 AVAL'!B52 = "", "", '0 AVAL'!B52)</f>
        <v/>
      </c>
      <c r="C44" s="139" t="str">
        <f>IF('0 AVAL'!C52 = "", "", '0 AVAL'!C52)</f>
        <v/>
      </c>
      <c r="D44" s="121"/>
      <c r="E44" s="306"/>
      <c r="F44" s="172"/>
      <c r="G44" s="172"/>
      <c r="H44" s="172"/>
      <c r="I44" s="172"/>
      <c r="J44" s="172"/>
      <c r="K44" s="172"/>
      <c r="L44" s="172"/>
      <c r="M44" s="172"/>
      <c r="N44" s="222"/>
    </row>
    <row r="45" spans="1:14" ht="47.25" customHeight="1" x14ac:dyDescent="0.25">
      <c r="A45" s="3">
        <v>18</v>
      </c>
      <c r="B45" s="139" t="str">
        <f>IF('0 AVAL'!B53 = "", "", '0 AVAL'!B53)</f>
        <v/>
      </c>
      <c r="C45" s="139" t="str">
        <f>IF('0 AVAL'!C53 = "", "", '0 AVAL'!C53)</f>
        <v/>
      </c>
      <c r="D45" s="121"/>
      <c r="E45" s="306"/>
      <c r="F45" s="172"/>
      <c r="G45" s="172"/>
      <c r="H45" s="172"/>
      <c r="I45" s="172"/>
      <c r="J45" s="172"/>
      <c r="K45" s="172"/>
      <c r="L45" s="172"/>
      <c r="M45" s="172"/>
      <c r="N45" s="222"/>
    </row>
    <row r="46" spans="1:14" ht="47.25" customHeight="1" x14ac:dyDescent="0.25">
      <c r="A46" s="3">
        <v>19</v>
      </c>
      <c r="B46" s="139" t="str">
        <f>IF('0 AVAL'!B54 = "", "", '0 AVAL'!B54)</f>
        <v/>
      </c>
      <c r="C46" s="139" t="str">
        <f>IF('0 AVAL'!C54 = "", "", '0 AVAL'!C54)</f>
        <v/>
      </c>
      <c r="D46" s="121"/>
      <c r="E46" s="306"/>
      <c r="F46" s="172"/>
      <c r="G46" s="172"/>
      <c r="H46" s="172"/>
      <c r="I46" s="172"/>
      <c r="J46" s="172"/>
      <c r="K46" s="172"/>
      <c r="L46" s="172"/>
      <c r="M46" s="172"/>
      <c r="N46" s="222"/>
    </row>
    <row r="47" spans="1:14" ht="47.25" customHeight="1" x14ac:dyDescent="0.25">
      <c r="A47" s="3">
        <v>20</v>
      </c>
      <c r="B47" s="139" t="str">
        <f>IF('0 AVAL'!B55 = "", "", '0 AVAL'!B55)</f>
        <v/>
      </c>
      <c r="C47" s="139" t="str">
        <f>IF('0 AVAL'!C55 = "", "", '0 AVAL'!C55)</f>
        <v/>
      </c>
      <c r="D47" s="121"/>
      <c r="E47" s="306"/>
      <c r="F47" s="172"/>
      <c r="G47" s="172"/>
      <c r="H47" s="172"/>
      <c r="I47" s="172"/>
      <c r="J47" s="172"/>
      <c r="K47" s="172"/>
      <c r="L47" s="172"/>
      <c r="M47" s="172"/>
      <c r="N47" s="222"/>
    </row>
    <row r="48" spans="1:14" ht="47.25" customHeight="1" x14ac:dyDescent="0.25">
      <c r="A48" s="3">
        <v>21</v>
      </c>
      <c r="B48" s="139" t="str">
        <f>IF('0 AVAL'!B56 = "", "", '0 AVAL'!B56)</f>
        <v/>
      </c>
      <c r="C48" s="139" t="str">
        <f>IF('0 AVAL'!C56 = "", "", '0 AVAL'!C56)</f>
        <v/>
      </c>
      <c r="D48" s="121"/>
      <c r="E48" s="306"/>
      <c r="F48" s="172"/>
      <c r="G48" s="172"/>
      <c r="H48" s="172"/>
      <c r="I48" s="172"/>
      <c r="J48" s="172"/>
      <c r="K48" s="172"/>
      <c r="L48" s="172"/>
      <c r="M48" s="172"/>
      <c r="N48" s="222"/>
    </row>
    <row r="49" spans="1:14" ht="47.25" customHeight="1" x14ac:dyDescent="0.25">
      <c r="A49" s="3">
        <v>22</v>
      </c>
      <c r="B49" s="139" t="str">
        <f>IF('0 AVAL'!B57 = "", "", '0 AVAL'!B57)</f>
        <v/>
      </c>
      <c r="C49" s="139" t="str">
        <f>IF('0 AVAL'!C57 = "", "", '0 AVAL'!C57)</f>
        <v/>
      </c>
      <c r="D49" s="121"/>
      <c r="E49" s="306"/>
      <c r="F49" s="172"/>
      <c r="G49" s="172"/>
      <c r="H49" s="172"/>
      <c r="I49" s="172"/>
      <c r="J49" s="172"/>
      <c r="K49" s="172"/>
      <c r="L49" s="172"/>
      <c r="M49" s="172"/>
      <c r="N49" s="222"/>
    </row>
    <row r="50" spans="1:14" ht="47.25" customHeight="1" x14ac:dyDescent="0.25">
      <c r="A50" s="3">
        <v>23</v>
      </c>
      <c r="B50" s="139" t="str">
        <f>IF('0 AVAL'!B58 = "", "", '0 AVAL'!B58)</f>
        <v/>
      </c>
      <c r="C50" s="139" t="str">
        <f>IF('0 AVAL'!C58 = "", "", '0 AVAL'!C58)</f>
        <v/>
      </c>
      <c r="D50" s="121"/>
      <c r="E50" s="306"/>
      <c r="F50" s="172"/>
      <c r="G50" s="172"/>
      <c r="H50" s="172"/>
      <c r="I50" s="172"/>
      <c r="J50" s="172"/>
      <c r="K50" s="172"/>
      <c r="L50" s="172"/>
      <c r="M50" s="172"/>
      <c r="N50" s="222"/>
    </row>
    <row r="51" spans="1:14" ht="47.25" customHeight="1" x14ac:dyDescent="0.25">
      <c r="A51" s="3">
        <v>24</v>
      </c>
      <c r="B51" s="139" t="str">
        <f>IF('0 AVAL'!B59 = "", "", '0 AVAL'!B59)</f>
        <v/>
      </c>
      <c r="C51" s="139" t="str">
        <f>IF('0 AVAL'!C59 = "", "", '0 AVAL'!C59)</f>
        <v/>
      </c>
      <c r="D51" s="121"/>
      <c r="E51" s="306"/>
      <c r="F51" s="172"/>
      <c r="G51" s="172"/>
      <c r="H51" s="172"/>
      <c r="I51" s="172"/>
      <c r="J51" s="172"/>
      <c r="K51" s="172"/>
      <c r="L51" s="172"/>
      <c r="M51" s="172"/>
      <c r="N51" s="222"/>
    </row>
    <row r="52" spans="1:14" ht="47.25" customHeight="1" x14ac:dyDescent="0.25">
      <c r="A52" s="3">
        <v>25</v>
      </c>
      <c r="B52" s="139" t="str">
        <f>IF('0 AVAL'!B60 = "", "", '0 AVAL'!B60)</f>
        <v/>
      </c>
      <c r="C52" s="139" t="str">
        <f>IF('0 AVAL'!C60 = "", "", '0 AVAL'!C60)</f>
        <v/>
      </c>
      <c r="D52" s="121"/>
      <c r="E52" s="306"/>
      <c r="F52" s="172"/>
      <c r="G52" s="172"/>
      <c r="H52" s="172"/>
      <c r="I52" s="172"/>
      <c r="J52" s="172"/>
      <c r="K52" s="172"/>
      <c r="L52" s="172"/>
      <c r="M52" s="172"/>
      <c r="N52" s="222"/>
    </row>
    <row r="53" spans="1:14" ht="47.25" customHeight="1" x14ac:dyDescent="0.25">
      <c r="A53" s="3">
        <v>26</v>
      </c>
      <c r="B53" s="139" t="str">
        <f>IF('0 AVAL'!B61 = "", "", '0 AVAL'!B61)</f>
        <v/>
      </c>
      <c r="C53" s="139" t="str">
        <f>IF('0 AVAL'!C61 = "", "", '0 AVAL'!C61)</f>
        <v/>
      </c>
      <c r="D53" s="121"/>
      <c r="E53" s="306"/>
      <c r="F53" s="172"/>
      <c r="G53" s="172"/>
      <c r="H53" s="172"/>
      <c r="I53" s="172"/>
      <c r="J53" s="172"/>
      <c r="K53" s="172"/>
      <c r="L53" s="172"/>
      <c r="M53" s="172"/>
      <c r="N53" s="222"/>
    </row>
    <row r="54" spans="1:14" ht="47.25" customHeight="1" x14ac:dyDescent="0.25">
      <c r="A54" s="3">
        <v>27</v>
      </c>
      <c r="B54" s="139" t="str">
        <f>IF('0 AVAL'!B62 = "", "", '0 AVAL'!B62)</f>
        <v/>
      </c>
      <c r="C54" s="139" t="str">
        <f>IF('0 AVAL'!C62 = "", "", '0 AVAL'!C62)</f>
        <v/>
      </c>
      <c r="D54" s="121"/>
      <c r="E54" s="306"/>
      <c r="F54" s="172"/>
      <c r="G54" s="172"/>
      <c r="H54" s="172"/>
      <c r="I54" s="172"/>
      <c r="J54" s="172"/>
      <c r="K54" s="172"/>
      <c r="L54" s="172"/>
      <c r="M54" s="172"/>
      <c r="N54" s="222"/>
    </row>
    <row r="55" spans="1:14" ht="47.25" customHeight="1" x14ac:dyDescent="0.25">
      <c r="A55" s="3">
        <v>28</v>
      </c>
      <c r="B55" s="139" t="str">
        <f>IF('0 AVAL'!B63 = "", "", '0 AVAL'!B63)</f>
        <v/>
      </c>
      <c r="C55" s="139" t="str">
        <f>IF('0 AVAL'!C63 = "", "", '0 AVAL'!C63)</f>
        <v/>
      </c>
      <c r="D55" s="121"/>
      <c r="E55" s="306"/>
      <c r="F55" s="172"/>
      <c r="G55" s="172"/>
      <c r="H55" s="172"/>
      <c r="I55" s="172"/>
      <c r="J55" s="172"/>
      <c r="K55" s="172"/>
      <c r="L55" s="172"/>
      <c r="M55" s="172"/>
      <c r="N55" s="222"/>
    </row>
    <row r="56" spans="1:14" ht="47.25" customHeight="1" x14ac:dyDescent="0.25">
      <c r="A56" s="3">
        <v>29</v>
      </c>
      <c r="B56" s="139" t="str">
        <f>IF('0 AVAL'!B64 = "", "", '0 AVAL'!B64)</f>
        <v/>
      </c>
      <c r="C56" s="139" t="str">
        <f>IF('0 AVAL'!C64 = "", "", '0 AVAL'!C64)</f>
        <v/>
      </c>
      <c r="D56" s="121"/>
      <c r="E56" s="306"/>
      <c r="F56" s="172"/>
      <c r="G56" s="172"/>
      <c r="H56" s="172"/>
      <c r="I56" s="172"/>
      <c r="J56" s="172"/>
      <c r="K56" s="172"/>
      <c r="L56" s="172"/>
      <c r="M56" s="172"/>
      <c r="N56" s="222"/>
    </row>
    <row r="57" spans="1:14" ht="47.25" customHeight="1" x14ac:dyDescent="0.25">
      <c r="A57" s="3">
        <v>30</v>
      </c>
      <c r="B57" s="139" t="str">
        <f>IF('0 AVAL'!B65 = "", "", '0 AVAL'!B65)</f>
        <v/>
      </c>
      <c r="C57" s="139" t="str">
        <f>IF('0 AVAL'!C65 = "", "", '0 AVAL'!C65)</f>
        <v/>
      </c>
      <c r="D57" s="121"/>
      <c r="E57" s="306"/>
      <c r="F57" s="172"/>
      <c r="G57" s="172"/>
      <c r="H57" s="172"/>
      <c r="I57" s="172"/>
      <c r="J57" s="172"/>
      <c r="K57" s="172"/>
      <c r="L57" s="172"/>
      <c r="M57" s="172"/>
      <c r="N57" s="222"/>
    </row>
    <row r="58" spans="1:14" ht="47.25" customHeight="1" x14ac:dyDescent="0.25">
      <c r="A58" s="3">
        <v>31</v>
      </c>
      <c r="B58" s="139" t="str">
        <f>IF('0 AVAL'!B66 = "", "", '0 AVAL'!B66)</f>
        <v/>
      </c>
      <c r="C58" s="139" t="str">
        <f>IF('0 AVAL'!C66 = "", "", '0 AVAL'!C66)</f>
        <v/>
      </c>
      <c r="D58" s="121"/>
      <c r="E58" s="157"/>
      <c r="F58" s="158"/>
      <c r="G58" s="158"/>
      <c r="H58" s="158"/>
      <c r="I58" s="158"/>
      <c r="J58" s="158"/>
      <c r="K58" s="158"/>
      <c r="L58" s="158"/>
      <c r="M58" s="158"/>
      <c r="N58" s="159"/>
    </row>
    <row r="59" spans="1:14" ht="47.25" customHeight="1" x14ac:dyDescent="0.25">
      <c r="A59" s="3">
        <v>32</v>
      </c>
      <c r="B59" s="139" t="str">
        <f>IF('0 AVAL'!B67 = "", "", '0 AVAL'!B67)</f>
        <v/>
      </c>
      <c r="C59" s="139" t="str">
        <f>IF('0 AVAL'!C67 = "", "", '0 AVAL'!C67)</f>
        <v/>
      </c>
      <c r="D59" s="121"/>
      <c r="E59" s="157"/>
      <c r="F59" s="158"/>
      <c r="G59" s="158"/>
      <c r="H59" s="158"/>
      <c r="I59" s="158"/>
      <c r="J59" s="158"/>
      <c r="K59" s="158"/>
      <c r="L59" s="158"/>
      <c r="M59" s="158"/>
      <c r="N59" s="159"/>
    </row>
    <row r="60" spans="1:14" ht="47.25" customHeight="1" x14ac:dyDescent="0.25">
      <c r="A60" s="3">
        <v>33</v>
      </c>
      <c r="B60" s="139" t="str">
        <f>IF('0 AVAL'!B68 = "", "", '0 AVAL'!B68)</f>
        <v/>
      </c>
      <c r="C60" s="139" t="str">
        <f>IF('0 AVAL'!C68 = "", "", '0 AVAL'!C68)</f>
        <v/>
      </c>
      <c r="D60" s="121"/>
      <c r="E60" s="157"/>
      <c r="F60" s="158"/>
      <c r="G60" s="158"/>
      <c r="H60" s="158"/>
      <c r="I60" s="158"/>
      <c r="J60" s="158"/>
      <c r="K60" s="158"/>
      <c r="L60" s="158"/>
      <c r="M60" s="158"/>
      <c r="N60" s="159"/>
    </row>
    <row r="61" spans="1:14" ht="47.25" customHeight="1" x14ac:dyDescent="0.25">
      <c r="A61" s="3">
        <v>34</v>
      </c>
      <c r="B61" s="139" t="str">
        <f>IF('0 AVAL'!B69 = "", "", '0 AVAL'!B69)</f>
        <v/>
      </c>
      <c r="C61" s="139" t="str">
        <f>IF('0 AVAL'!C69 = "", "", '0 AVAL'!C69)</f>
        <v/>
      </c>
      <c r="D61" s="121"/>
      <c r="E61" s="157"/>
      <c r="F61" s="158"/>
      <c r="G61" s="158"/>
      <c r="H61" s="158"/>
      <c r="I61" s="158"/>
      <c r="J61" s="158"/>
      <c r="K61" s="158"/>
      <c r="L61" s="158"/>
      <c r="M61" s="158"/>
      <c r="N61" s="159"/>
    </row>
    <row r="62" spans="1:14" ht="47.25" customHeight="1" x14ac:dyDescent="0.25">
      <c r="A62" s="3">
        <v>35</v>
      </c>
      <c r="B62" s="139" t="str">
        <f>IF('0 AVAL'!B70 = "", "", '0 AVAL'!B70)</f>
        <v/>
      </c>
      <c r="C62" s="139" t="str">
        <f>IF('0 AVAL'!C70 = "", "", '0 AVAL'!C70)</f>
        <v/>
      </c>
      <c r="D62" s="121"/>
      <c r="E62" s="157"/>
      <c r="F62" s="158"/>
      <c r="G62" s="158"/>
      <c r="H62" s="158"/>
      <c r="I62" s="158"/>
      <c r="J62" s="158"/>
      <c r="K62" s="158"/>
      <c r="L62" s="158"/>
      <c r="M62" s="158"/>
      <c r="N62" s="159"/>
    </row>
    <row r="63" spans="1:14" ht="47.25" customHeight="1" x14ac:dyDescent="0.25">
      <c r="A63" s="3">
        <v>36</v>
      </c>
      <c r="B63" s="139" t="str">
        <f>IF('0 AVAL'!B71 = "", "", '0 AVAL'!B71)</f>
        <v/>
      </c>
      <c r="C63" s="139" t="str">
        <f>IF('0 AVAL'!C71 = "", "", '0 AVAL'!C71)</f>
        <v/>
      </c>
      <c r="D63" s="121"/>
      <c r="E63" s="306"/>
      <c r="F63" s="172"/>
      <c r="G63" s="172"/>
      <c r="H63" s="172"/>
      <c r="I63" s="172"/>
      <c r="J63" s="172"/>
      <c r="K63" s="172"/>
      <c r="L63" s="172"/>
      <c r="M63" s="172"/>
      <c r="N63" s="222"/>
    </row>
    <row r="64" spans="1:14" ht="47.25" customHeight="1" x14ac:dyDescent="0.25">
      <c r="A64" s="3">
        <v>37</v>
      </c>
      <c r="B64" s="139" t="str">
        <f>IF('0 AVAL'!B72 = "", "", '0 AVAL'!B72)</f>
        <v/>
      </c>
      <c r="C64" s="139" t="str">
        <f>IF('0 AVAL'!C72 = "", "", '0 AVAL'!C72)</f>
        <v/>
      </c>
      <c r="D64" s="121"/>
      <c r="E64" s="306"/>
      <c r="F64" s="172"/>
      <c r="G64" s="172"/>
      <c r="H64" s="172"/>
      <c r="I64" s="172"/>
      <c r="J64" s="172"/>
      <c r="K64" s="172"/>
      <c r="L64" s="172"/>
      <c r="M64" s="172"/>
      <c r="N64" s="222"/>
    </row>
    <row r="65" spans="1:14" ht="47.25" customHeight="1" x14ac:dyDescent="0.25">
      <c r="A65" s="3">
        <v>38</v>
      </c>
      <c r="B65" s="139" t="str">
        <f>IF('0 AVAL'!B73 = "", "", '0 AVAL'!B73)</f>
        <v/>
      </c>
      <c r="C65" s="139" t="str">
        <f>IF('0 AVAL'!C73 = "", "", '0 AVAL'!C73)</f>
        <v/>
      </c>
      <c r="D65" s="121"/>
      <c r="E65" s="306"/>
      <c r="F65" s="172"/>
      <c r="G65" s="172"/>
      <c r="H65" s="172"/>
      <c r="I65" s="172"/>
      <c r="J65" s="172"/>
      <c r="K65" s="172"/>
      <c r="L65" s="172"/>
      <c r="M65" s="172"/>
      <c r="N65" s="222"/>
    </row>
    <row r="66" spans="1:14" ht="47.25" customHeight="1" x14ac:dyDescent="0.25">
      <c r="A66" s="3">
        <v>39</v>
      </c>
      <c r="B66" s="139" t="str">
        <f>IF('0 AVAL'!B74 = "", "", '0 AVAL'!B74)</f>
        <v/>
      </c>
      <c r="C66" s="139" t="str">
        <f>IF('0 AVAL'!C74 = "", "", '0 AVAL'!C74)</f>
        <v/>
      </c>
      <c r="D66" s="121"/>
      <c r="E66" s="306"/>
      <c r="F66" s="172"/>
      <c r="G66" s="172"/>
      <c r="H66" s="172"/>
      <c r="I66" s="172"/>
      <c r="J66" s="172"/>
      <c r="K66" s="172"/>
      <c r="L66" s="172"/>
      <c r="M66" s="172"/>
      <c r="N66" s="222"/>
    </row>
    <row r="67" spans="1:14" ht="59.25" customHeight="1" x14ac:dyDescent="0.25">
      <c r="A67" s="3">
        <v>40</v>
      </c>
      <c r="B67" s="139" t="str">
        <f>IF('0 AVAL'!B75 = "", "", '0 AVAL'!B75)</f>
        <v/>
      </c>
      <c r="C67" s="139" t="str">
        <f>IF('0 AVAL'!C75 = "", "", '0 AVAL'!C75)</f>
        <v/>
      </c>
      <c r="D67" s="121"/>
      <c r="E67" s="306"/>
      <c r="F67" s="172"/>
      <c r="G67" s="172"/>
      <c r="H67" s="172"/>
      <c r="I67" s="172"/>
      <c r="J67" s="172"/>
      <c r="K67" s="172"/>
      <c r="L67" s="172"/>
      <c r="M67" s="172"/>
      <c r="N67" s="222"/>
    </row>
    <row r="68" spans="1:14" ht="23.25" customHeight="1" thickBot="1" x14ac:dyDescent="0.3"/>
    <row r="69" spans="1:14" s="13" customFormat="1" ht="59.25" customHeight="1" thickBot="1" x14ac:dyDescent="0.3">
      <c r="B69" s="303" t="s">
        <v>134</v>
      </c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1"/>
    </row>
    <row r="70" spans="1:14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s="5" customFormat="1" ht="34.5" customHeight="1" x14ac:dyDescent="0.25">
      <c r="A71" s="105">
        <v>1</v>
      </c>
      <c r="B71" s="219"/>
      <c r="C71" s="172"/>
      <c r="D71" s="172"/>
      <c r="E71" s="172"/>
      <c r="F71" s="172"/>
      <c r="G71" s="172"/>
      <c r="H71" s="172"/>
      <c r="I71" s="172"/>
      <c r="J71" s="227" t="s">
        <v>52</v>
      </c>
      <c r="K71" s="200"/>
      <c r="L71" s="200"/>
      <c r="M71" s="200"/>
      <c r="N71" s="201"/>
    </row>
    <row r="72" spans="1:14" s="5" customFormat="1" ht="34.5" customHeight="1" x14ac:dyDescent="0.25">
      <c r="A72" s="105">
        <v>2</v>
      </c>
      <c r="B72" s="263"/>
      <c r="C72" s="193"/>
      <c r="D72" s="193"/>
      <c r="E72" s="193"/>
      <c r="F72" s="193"/>
      <c r="G72" s="193"/>
      <c r="H72" s="193"/>
      <c r="I72" s="193"/>
      <c r="J72" s="202"/>
      <c r="K72" s="267"/>
      <c r="L72" s="267"/>
      <c r="M72" s="267"/>
      <c r="N72" s="204"/>
    </row>
    <row r="73" spans="1:14" s="5" customFormat="1" ht="34.5" customHeight="1" x14ac:dyDescent="0.25">
      <c r="A73" s="105">
        <v>3</v>
      </c>
      <c r="B73" s="263"/>
      <c r="C73" s="193"/>
      <c r="D73" s="193"/>
      <c r="E73" s="193"/>
      <c r="F73" s="193"/>
      <c r="G73" s="193"/>
      <c r="H73" s="193"/>
      <c r="I73" s="193"/>
      <c r="J73" s="202"/>
      <c r="K73" s="267"/>
      <c r="L73" s="267"/>
      <c r="M73" s="267"/>
      <c r="N73" s="204"/>
    </row>
    <row r="74" spans="1:14" s="5" customFormat="1" ht="34.5" customHeight="1" x14ac:dyDescent="0.25">
      <c r="A74" s="105">
        <v>4</v>
      </c>
      <c r="B74" s="263"/>
      <c r="C74" s="193"/>
      <c r="D74" s="193"/>
      <c r="E74" s="193"/>
      <c r="F74" s="193"/>
      <c r="G74" s="193"/>
      <c r="H74" s="193"/>
      <c r="I74" s="193"/>
      <c r="J74" s="202"/>
      <c r="K74" s="267"/>
      <c r="L74" s="267"/>
      <c r="M74" s="267"/>
      <c r="N74" s="204"/>
    </row>
    <row r="75" spans="1:14" s="5" customFormat="1" ht="34.5" customHeight="1" x14ac:dyDescent="0.25">
      <c r="A75" s="105">
        <v>5</v>
      </c>
      <c r="B75" s="263"/>
      <c r="C75" s="193"/>
      <c r="D75" s="193"/>
      <c r="E75" s="193"/>
      <c r="F75" s="193"/>
      <c r="G75" s="193"/>
      <c r="H75" s="193"/>
      <c r="I75" s="193"/>
      <c r="J75" s="202"/>
      <c r="K75" s="267"/>
      <c r="L75" s="267"/>
      <c r="M75" s="267"/>
      <c r="N75" s="204"/>
    </row>
    <row r="76" spans="1:14" s="5" customFormat="1" ht="34.5" customHeight="1" x14ac:dyDescent="0.25">
      <c r="A76" s="105">
        <v>6</v>
      </c>
      <c r="B76" s="263"/>
      <c r="C76" s="193"/>
      <c r="D76" s="193"/>
      <c r="E76" s="193"/>
      <c r="F76" s="193"/>
      <c r="G76" s="193"/>
      <c r="H76" s="193"/>
      <c r="I76" s="193"/>
      <c r="J76" s="202"/>
      <c r="K76" s="267"/>
      <c r="L76" s="267"/>
      <c r="M76" s="267"/>
      <c r="N76" s="204"/>
    </row>
    <row r="77" spans="1:14" s="5" customFormat="1" ht="34.5" customHeight="1" thickBot="1" x14ac:dyDescent="0.3">
      <c r="A77" s="105">
        <v>7</v>
      </c>
      <c r="B77" s="262"/>
      <c r="C77" s="206"/>
      <c r="D77" s="206"/>
      <c r="E77" s="206"/>
      <c r="F77" s="206"/>
      <c r="G77" s="206"/>
      <c r="H77" s="206"/>
      <c r="I77" s="206"/>
      <c r="J77" s="205"/>
      <c r="K77" s="206"/>
      <c r="L77" s="206"/>
      <c r="M77" s="206"/>
      <c r="N77" s="207"/>
    </row>
    <row r="78" spans="1:14" x14ac:dyDescent="0.25">
      <c r="B78" s="232" t="s">
        <v>53</v>
      </c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 spans="1:14" ht="15.6" customHeight="1" x14ac:dyDescent="0.25"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</row>
  </sheetData>
  <mergeCells count="66">
    <mergeCell ref="J2:N2"/>
    <mergeCell ref="J3:M3"/>
    <mergeCell ref="B14:M14"/>
    <mergeCell ref="N14:Y14"/>
    <mergeCell ref="B15:N15"/>
    <mergeCell ref="J4:M4"/>
    <mergeCell ref="B2:C6"/>
    <mergeCell ref="J6:M6"/>
    <mergeCell ref="J7:M7"/>
    <mergeCell ref="B9:N9"/>
    <mergeCell ref="E43:N43"/>
    <mergeCell ref="E29:N29"/>
    <mergeCell ref="E35:N35"/>
    <mergeCell ref="E51:N51"/>
    <mergeCell ref="E36:N36"/>
    <mergeCell ref="E49:N49"/>
    <mergeCell ref="E46:N46"/>
    <mergeCell ref="E30:N30"/>
    <mergeCell ref="B78:N79"/>
    <mergeCell ref="B25:N25"/>
    <mergeCell ref="J5:M5"/>
    <mergeCell ref="E55:N55"/>
    <mergeCell ref="E42:N42"/>
    <mergeCell ref="B73:I73"/>
    <mergeCell ref="E52:N52"/>
    <mergeCell ref="E67:N67"/>
    <mergeCell ref="E33:N33"/>
    <mergeCell ref="G2:G6"/>
    <mergeCell ref="E39:N39"/>
    <mergeCell ref="E48:N48"/>
    <mergeCell ref="B12:N12"/>
    <mergeCell ref="E64:N64"/>
    <mergeCell ref="B71:I71"/>
    <mergeCell ref="E66:N66"/>
    <mergeCell ref="B22:N23"/>
    <mergeCell ref="E47:N47"/>
    <mergeCell ref="E50:N50"/>
    <mergeCell ref="D2:F6"/>
    <mergeCell ref="N11:Y11"/>
    <mergeCell ref="E31:N31"/>
    <mergeCell ref="B11:M11"/>
    <mergeCell ref="E27:N27"/>
    <mergeCell ref="E45:N45"/>
    <mergeCell ref="E44:N44"/>
    <mergeCell ref="B18:N18"/>
    <mergeCell ref="E38:N38"/>
    <mergeCell ref="E32:N32"/>
    <mergeCell ref="B20:N20"/>
    <mergeCell ref="E41:N41"/>
    <mergeCell ref="E37:N37"/>
    <mergeCell ref="B69:N69"/>
    <mergeCell ref="J71:N77"/>
    <mergeCell ref="B77:I77"/>
    <mergeCell ref="E28:N28"/>
    <mergeCell ref="B74:I74"/>
    <mergeCell ref="B75:I75"/>
    <mergeCell ref="B72:I72"/>
    <mergeCell ref="E63:N63"/>
    <mergeCell ref="B76:I76"/>
    <mergeCell ref="E65:N65"/>
    <mergeCell ref="E56:N56"/>
    <mergeCell ref="E57:N57"/>
    <mergeCell ref="E54:N54"/>
    <mergeCell ref="E53:N53"/>
    <mergeCell ref="E40:N40"/>
    <mergeCell ref="E34:N34"/>
  </mergeCells>
  <dataValidations count="1">
    <dataValidation type="date" allowBlank="1" showInputMessage="1" showErrorMessage="1" sqref="J7:M7" xr:uid="{00000000-0002-0000-0A00-000000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FY79"/>
  <sheetViews>
    <sheetView workbookViewId="0">
      <selection activeCell="J3" sqref="J3:M3"/>
    </sheetView>
  </sheetViews>
  <sheetFormatPr baseColWidth="10" defaultColWidth="0" defaultRowHeight="15.75" zeroHeight="1" x14ac:dyDescent="0.25"/>
  <cols>
    <col min="1" max="1" width="3.28515625" style="1" customWidth="1"/>
    <col min="2" max="2" width="21.7109375" style="1" customWidth="1"/>
    <col min="3" max="3" width="25.28515625" style="1" customWidth="1"/>
    <col min="4" max="8" width="12.5703125" style="1" customWidth="1"/>
    <col min="9" max="9" width="16.28515625" style="1" customWidth="1"/>
    <col min="10" max="13" width="12.5703125" style="1" customWidth="1"/>
    <col min="14" max="14" width="2.7109375" style="1" customWidth="1"/>
    <col min="15" max="22" width="0" style="1" hidden="1"/>
    <col min="23" max="181" width="4.42578125" style="1" hidden="1" customWidth="1"/>
    <col min="182" max="16383" width="0" style="1" hidden="1"/>
    <col min="16384" max="16384" width="5" style="1" customWidth="1"/>
  </cols>
  <sheetData>
    <row r="1" spans="1:25" ht="29.25" customHeight="1" x14ac:dyDescent="0.25">
      <c r="B1" s="5"/>
      <c r="C1" s="5"/>
      <c r="D1" s="5"/>
      <c r="E1" s="5"/>
      <c r="F1" s="5"/>
      <c r="G1" s="5"/>
      <c r="H1" s="5"/>
      <c r="I1" s="153" t="s">
        <v>123</v>
      </c>
      <c r="J1" s="6"/>
      <c r="K1" s="6"/>
      <c r="L1" s="7" t="s">
        <v>124</v>
      </c>
      <c r="M1" s="6"/>
    </row>
    <row r="2" spans="1:25" ht="15.75" customHeight="1" x14ac:dyDescent="0.25">
      <c r="B2" s="208" t="e">
        <v>#VALUE!</v>
      </c>
      <c r="C2" s="209"/>
      <c r="D2" s="208" t="e">
        <v>#VALUE!</v>
      </c>
      <c r="E2" s="209"/>
      <c r="F2" s="209"/>
      <c r="G2" s="208"/>
      <c r="H2" s="8"/>
      <c r="J2" s="209"/>
      <c r="K2" s="209"/>
      <c r="L2" s="209"/>
      <c r="M2" s="209"/>
      <c r="N2" s="209"/>
    </row>
    <row r="3" spans="1:25" ht="15.75" customHeight="1" x14ac:dyDescent="0.25">
      <c r="B3" s="209"/>
      <c r="C3" s="209"/>
      <c r="D3" s="209"/>
      <c r="E3" s="209"/>
      <c r="F3" s="209"/>
      <c r="G3" s="209"/>
      <c r="H3" s="8"/>
      <c r="I3" s="46" t="s">
        <v>1</v>
      </c>
      <c r="J3" s="182" t="str">
        <f>IF(ficha_alum!K3 = "", "", ficha_alum!K3)</f>
        <v/>
      </c>
      <c r="K3" s="172"/>
      <c r="L3" s="172"/>
      <c r="M3" s="172"/>
    </row>
    <row r="4" spans="1:25" ht="15.75" customHeight="1" x14ac:dyDescent="0.25">
      <c r="B4" s="209"/>
      <c r="C4" s="209"/>
      <c r="D4" s="209"/>
      <c r="E4" s="209"/>
      <c r="F4" s="209"/>
      <c r="G4" s="209"/>
      <c r="H4" s="8"/>
      <c r="I4" s="9" t="s">
        <v>2</v>
      </c>
      <c r="J4" s="182" t="str">
        <f>IF(ficha_alum!K4 = "", "", ficha_alum!K4)</f>
        <v/>
      </c>
      <c r="K4" s="172"/>
      <c r="L4" s="172"/>
      <c r="M4" s="172"/>
    </row>
    <row r="5" spans="1:25" ht="15.75" hidden="1" customHeight="1" x14ac:dyDescent="0.25">
      <c r="A5" s="160"/>
      <c r="B5" s="209"/>
      <c r="C5" s="209"/>
      <c r="D5" s="209"/>
      <c r="E5" s="209"/>
      <c r="F5" s="209"/>
      <c r="G5" s="209"/>
      <c r="H5" s="8"/>
      <c r="J5" s="182" t="str">
        <f>IF(ficha_alum!K5 = "", "", ficha_alum!K5)</f>
        <v/>
      </c>
      <c r="K5" s="172"/>
      <c r="L5" s="172"/>
      <c r="M5" s="172"/>
    </row>
    <row r="6" spans="1:25" ht="15.75" customHeight="1" thickBot="1" x14ac:dyDescent="0.3">
      <c r="B6" s="209"/>
      <c r="C6" s="209"/>
      <c r="D6" s="209"/>
      <c r="E6" s="209"/>
      <c r="F6" s="209"/>
      <c r="G6" s="209"/>
      <c r="H6" s="8"/>
      <c r="I6" s="47" t="s">
        <v>3</v>
      </c>
      <c r="J6" s="182" t="str">
        <f>IF(ficha_alum!K6 = "", "", ficha_alum!K6)</f>
        <v/>
      </c>
      <c r="K6" s="172"/>
      <c r="L6" s="172"/>
      <c r="M6" s="172"/>
    </row>
    <row r="7" spans="1:25" x14ac:dyDescent="0.25">
      <c r="B7" s="5"/>
      <c r="C7" s="5"/>
      <c r="D7" s="8"/>
      <c r="E7" s="8"/>
      <c r="F7" s="8"/>
      <c r="G7" s="8"/>
      <c r="H7" s="8"/>
      <c r="I7" s="49" t="s">
        <v>79</v>
      </c>
      <c r="J7" s="220"/>
      <c r="K7" s="177"/>
      <c r="L7" s="177"/>
      <c r="M7" s="177"/>
    </row>
    <row r="9" spans="1:25" s="13" customFormat="1" ht="21" customHeight="1" x14ac:dyDescent="0.25">
      <c r="B9" s="214" t="s">
        <v>125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1" spans="1:25" ht="15.6" customHeight="1" x14ac:dyDescent="0.25">
      <c r="B11" s="238" t="s">
        <v>126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38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</row>
    <row r="12" spans="1:25" ht="56.25" customHeight="1" x14ac:dyDescent="0.25">
      <c r="B12" s="309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260"/>
    </row>
    <row r="14" spans="1:25" x14ac:dyDescent="0.25">
      <c r="B14" s="238" t="s">
        <v>127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38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</row>
    <row r="15" spans="1:25" ht="56.25" customHeight="1" x14ac:dyDescent="0.25">
      <c r="B15" s="309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260"/>
    </row>
    <row r="16" spans="1:25" ht="15.75" hidden="1" customHeight="1" x14ac:dyDescent="0.25"/>
    <row r="17" spans="1:14" x14ac:dyDescent="0.25">
      <c r="B17" s="154" t="s">
        <v>128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</row>
    <row r="18" spans="1:14" ht="56.25" customHeight="1" x14ac:dyDescent="0.25">
      <c r="B18" s="309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260"/>
    </row>
    <row r="20" spans="1:14" s="13" customFormat="1" ht="21" customHeight="1" x14ac:dyDescent="0.25">
      <c r="B20" s="214" t="s">
        <v>129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</row>
    <row r="22" spans="1:14" ht="15.6" customHeight="1" x14ac:dyDescent="0.25">
      <c r="B22" s="307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75"/>
    </row>
    <row r="23" spans="1:14" ht="253.5" customHeight="1" x14ac:dyDescent="0.25">
      <c r="B23" s="308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279"/>
    </row>
    <row r="25" spans="1:14" s="13" customFormat="1" ht="21" customHeight="1" x14ac:dyDescent="0.25">
      <c r="B25" s="214" t="s">
        <v>130</v>
      </c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</row>
    <row r="27" spans="1:14" s="3" customFormat="1" ht="45.75" customHeight="1" x14ac:dyDescent="0.25">
      <c r="B27" s="136" t="s">
        <v>38</v>
      </c>
      <c r="C27" s="40" t="s">
        <v>39</v>
      </c>
      <c r="D27" s="40" t="s">
        <v>136</v>
      </c>
      <c r="E27" s="249" t="s">
        <v>132</v>
      </c>
      <c r="F27" s="172"/>
      <c r="G27" s="172"/>
      <c r="H27" s="172"/>
      <c r="I27" s="172"/>
      <c r="J27" s="172"/>
      <c r="K27" s="172"/>
      <c r="L27" s="172"/>
      <c r="M27" s="172"/>
      <c r="N27" s="222"/>
    </row>
    <row r="28" spans="1:14" ht="47.25" customHeight="1" x14ac:dyDescent="0.25">
      <c r="A28" s="3">
        <v>1</v>
      </c>
      <c r="B28" s="139" t="str">
        <f>IF('0 AVAL'!B36 = "", "", '0 AVAL'!B36)</f>
        <v/>
      </c>
      <c r="C28" s="139" t="str">
        <f>IF('0 AVAL'!C36 = "", "", '0 AVAL'!C36)</f>
        <v/>
      </c>
      <c r="D28" s="140"/>
      <c r="E28" s="304" t="s">
        <v>133</v>
      </c>
      <c r="F28" s="193"/>
      <c r="G28" s="193"/>
      <c r="H28" s="193"/>
      <c r="I28" s="193"/>
      <c r="J28" s="193"/>
      <c r="K28" s="193"/>
      <c r="L28" s="193"/>
      <c r="M28" s="193"/>
      <c r="N28" s="305"/>
    </row>
    <row r="29" spans="1:14" ht="47.25" customHeight="1" x14ac:dyDescent="0.25">
      <c r="A29" s="3">
        <v>2</v>
      </c>
      <c r="B29" s="139" t="str">
        <f>IF('0 AVAL'!B37 = "", "", '0 AVAL'!B37)</f>
        <v/>
      </c>
      <c r="C29" s="139" t="str">
        <f>IF('0 AVAL'!C37 = "", "", '0 AVAL'!C37)</f>
        <v/>
      </c>
      <c r="D29" s="121"/>
      <c r="E29" s="306"/>
      <c r="F29" s="172"/>
      <c r="G29" s="172"/>
      <c r="H29" s="172"/>
      <c r="I29" s="172"/>
      <c r="J29" s="172"/>
      <c r="K29" s="172"/>
      <c r="L29" s="172"/>
      <c r="M29" s="172"/>
      <c r="N29" s="222"/>
    </row>
    <row r="30" spans="1:14" ht="47.25" customHeight="1" x14ac:dyDescent="0.25">
      <c r="A30" s="3">
        <v>3</v>
      </c>
      <c r="B30" s="139" t="str">
        <f>IF('0 AVAL'!B38 = "", "", '0 AVAL'!B38)</f>
        <v/>
      </c>
      <c r="C30" s="139" t="str">
        <f>IF('0 AVAL'!C38 = "", "", '0 AVAL'!C38)</f>
        <v/>
      </c>
      <c r="D30" s="121"/>
      <c r="E30" s="306"/>
      <c r="F30" s="172"/>
      <c r="G30" s="172"/>
      <c r="H30" s="172"/>
      <c r="I30" s="172"/>
      <c r="J30" s="172"/>
      <c r="K30" s="172"/>
      <c r="L30" s="172"/>
      <c r="M30" s="172"/>
      <c r="N30" s="222"/>
    </row>
    <row r="31" spans="1:14" ht="47.25" customHeight="1" x14ac:dyDescent="0.25">
      <c r="A31" s="3">
        <v>4</v>
      </c>
      <c r="B31" s="139" t="str">
        <f>IF('0 AVAL'!B39 = "", "", '0 AVAL'!B39)</f>
        <v/>
      </c>
      <c r="C31" s="139" t="str">
        <f>IF('0 AVAL'!C39 = "", "", '0 AVAL'!C39)</f>
        <v/>
      </c>
      <c r="D31" s="121"/>
      <c r="E31" s="306"/>
      <c r="F31" s="172"/>
      <c r="G31" s="172"/>
      <c r="H31" s="172"/>
      <c r="I31" s="172"/>
      <c r="J31" s="172"/>
      <c r="K31" s="172"/>
      <c r="L31" s="172"/>
      <c r="M31" s="172"/>
      <c r="N31" s="222"/>
    </row>
    <row r="32" spans="1:14" ht="47.25" customHeight="1" x14ac:dyDescent="0.25">
      <c r="A32" s="3">
        <v>5</v>
      </c>
      <c r="B32" s="139" t="str">
        <f>IF('0 AVAL'!B40 = "", "", '0 AVAL'!B40)</f>
        <v/>
      </c>
      <c r="C32" s="139" t="str">
        <f>IF('0 AVAL'!C40 = "", "", '0 AVAL'!C40)</f>
        <v/>
      </c>
      <c r="D32" s="121"/>
      <c r="E32" s="306"/>
      <c r="F32" s="172"/>
      <c r="G32" s="172"/>
      <c r="H32" s="172"/>
      <c r="I32" s="172"/>
      <c r="J32" s="172"/>
      <c r="K32" s="172"/>
      <c r="L32" s="172"/>
      <c r="M32" s="172"/>
      <c r="N32" s="222"/>
    </row>
    <row r="33" spans="1:14" ht="47.25" customHeight="1" x14ac:dyDescent="0.25">
      <c r="A33" s="3">
        <v>6</v>
      </c>
      <c r="B33" s="139" t="str">
        <f>IF('0 AVAL'!B41 = "", "", '0 AVAL'!B41)</f>
        <v/>
      </c>
      <c r="C33" s="139" t="str">
        <f>IF('0 AVAL'!C41 = "", "", '0 AVAL'!C41)</f>
        <v/>
      </c>
      <c r="D33" s="121"/>
      <c r="E33" s="306"/>
      <c r="F33" s="172"/>
      <c r="G33" s="172"/>
      <c r="H33" s="172"/>
      <c r="I33" s="172"/>
      <c r="J33" s="172"/>
      <c r="K33" s="172"/>
      <c r="L33" s="172"/>
      <c r="M33" s="172"/>
      <c r="N33" s="222"/>
    </row>
    <row r="34" spans="1:14" ht="47.25" customHeight="1" x14ac:dyDescent="0.25">
      <c r="A34" s="3">
        <v>7</v>
      </c>
      <c r="B34" s="139" t="str">
        <f>IF('0 AVAL'!B42 = "", "", '0 AVAL'!B42)</f>
        <v/>
      </c>
      <c r="C34" s="139" t="str">
        <f>IF('0 AVAL'!C42 = "", "", '0 AVAL'!C42)</f>
        <v/>
      </c>
      <c r="D34" s="121"/>
      <c r="E34" s="306"/>
      <c r="F34" s="172"/>
      <c r="G34" s="172"/>
      <c r="H34" s="172"/>
      <c r="I34" s="172"/>
      <c r="J34" s="172"/>
      <c r="K34" s="172"/>
      <c r="L34" s="172"/>
      <c r="M34" s="172"/>
      <c r="N34" s="222"/>
    </row>
    <row r="35" spans="1:14" ht="47.25" customHeight="1" x14ac:dyDescent="0.25">
      <c r="A35" s="3">
        <v>8</v>
      </c>
      <c r="B35" s="139" t="str">
        <f>IF('0 AVAL'!B43 = "", "", '0 AVAL'!B43)</f>
        <v/>
      </c>
      <c r="C35" s="139" t="str">
        <f>IF('0 AVAL'!C43 = "", "", '0 AVAL'!C43)</f>
        <v/>
      </c>
      <c r="D35" s="121"/>
      <c r="E35" s="306"/>
      <c r="F35" s="172"/>
      <c r="G35" s="172"/>
      <c r="H35" s="172"/>
      <c r="I35" s="172"/>
      <c r="J35" s="172"/>
      <c r="K35" s="172"/>
      <c r="L35" s="172"/>
      <c r="M35" s="172"/>
      <c r="N35" s="222"/>
    </row>
    <row r="36" spans="1:14" ht="47.25" customHeight="1" x14ac:dyDescent="0.25">
      <c r="A36" s="3">
        <v>9</v>
      </c>
      <c r="B36" s="139" t="str">
        <f>IF('0 AVAL'!B44 = "", "", '0 AVAL'!B44)</f>
        <v/>
      </c>
      <c r="C36" s="139" t="str">
        <f>IF('0 AVAL'!C44 = "", "", '0 AVAL'!C44)</f>
        <v/>
      </c>
      <c r="D36" s="121"/>
      <c r="E36" s="306"/>
      <c r="F36" s="172"/>
      <c r="G36" s="172"/>
      <c r="H36" s="172"/>
      <c r="I36" s="172"/>
      <c r="J36" s="172"/>
      <c r="K36" s="172"/>
      <c r="L36" s="172"/>
      <c r="M36" s="172"/>
      <c r="N36" s="222"/>
    </row>
    <row r="37" spans="1:14" ht="47.25" customHeight="1" x14ac:dyDescent="0.25">
      <c r="A37" s="3">
        <v>10</v>
      </c>
      <c r="B37" s="139" t="str">
        <f>IF('0 AVAL'!B45 = "", "", '0 AVAL'!B45)</f>
        <v/>
      </c>
      <c r="C37" s="139" t="str">
        <f>IF('0 AVAL'!C45 = "", "", '0 AVAL'!C45)</f>
        <v/>
      </c>
      <c r="D37" s="121"/>
      <c r="E37" s="306"/>
      <c r="F37" s="172"/>
      <c r="G37" s="172"/>
      <c r="H37" s="172"/>
      <c r="I37" s="172"/>
      <c r="J37" s="172"/>
      <c r="K37" s="172"/>
      <c r="L37" s="172"/>
      <c r="M37" s="172"/>
      <c r="N37" s="222"/>
    </row>
    <row r="38" spans="1:14" ht="47.25" customHeight="1" x14ac:dyDescent="0.25">
      <c r="A38" s="3">
        <v>11</v>
      </c>
      <c r="B38" s="139" t="str">
        <f>IF('0 AVAL'!B46 = "", "", '0 AVAL'!B46)</f>
        <v/>
      </c>
      <c r="C38" s="139" t="str">
        <f>IF('0 AVAL'!C46 = "", "", '0 AVAL'!C46)</f>
        <v/>
      </c>
      <c r="D38" s="121"/>
      <c r="E38" s="306"/>
      <c r="F38" s="172"/>
      <c r="G38" s="172"/>
      <c r="H38" s="172"/>
      <c r="I38" s="172"/>
      <c r="J38" s="172"/>
      <c r="K38" s="172"/>
      <c r="L38" s="172"/>
      <c r="M38" s="172"/>
      <c r="N38" s="222"/>
    </row>
    <row r="39" spans="1:14" ht="47.25" customHeight="1" x14ac:dyDescent="0.25">
      <c r="A39" s="3">
        <v>12</v>
      </c>
      <c r="B39" s="139" t="str">
        <f>IF('0 AVAL'!B47 = "", "", '0 AVAL'!B47)</f>
        <v/>
      </c>
      <c r="C39" s="139" t="str">
        <f>IF('0 AVAL'!C47 = "", "", '0 AVAL'!C47)</f>
        <v/>
      </c>
      <c r="D39" s="121"/>
      <c r="E39" s="306"/>
      <c r="F39" s="172"/>
      <c r="G39" s="172"/>
      <c r="H39" s="172"/>
      <c r="I39" s="172"/>
      <c r="J39" s="172"/>
      <c r="K39" s="172"/>
      <c r="L39" s="172"/>
      <c r="M39" s="172"/>
      <c r="N39" s="222"/>
    </row>
    <row r="40" spans="1:14" ht="47.25" customHeight="1" x14ac:dyDescent="0.25">
      <c r="A40" s="3">
        <v>13</v>
      </c>
      <c r="B40" s="139" t="str">
        <f>IF('0 AVAL'!B48 = "", "", '0 AVAL'!B48)</f>
        <v/>
      </c>
      <c r="C40" s="139" t="str">
        <f>IF('0 AVAL'!C48 = "", "", '0 AVAL'!C48)</f>
        <v/>
      </c>
      <c r="D40" s="121"/>
      <c r="E40" s="306"/>
      <c r="F40" s="172"/>
      <c r="G40" s="172"/>
      <c r="H40" s="172"/>
      <c r="I40" s="172"/>
      <c r="J40" s="172"/>
      <c r="K40" s="172"/>
      <c r="L40" s="172"/>
      <c r="M40" s="172"/>
      <c r="N40" s="222"/>
    </row>
    <row r="41" spans="1:14" ht="47.25" customHeight="1" x14ac:dyDescent="0.25">
      <c r="A41" s="3">
        <v>14</v>
      </c>
      <c r="B41" s="139" t="str">
        <f>IF('0 AVAL'!B49 = "", "", '0 AVAL'!B49)</f>
        <v/>
      </c>
      <c r="C41" s="139" t="str">
        <f>IF('0 AVAL'!C49 = "", "", '0 AVAL'!C49)</f>
        <v/>
      </c>
      <c r="D41" s="121"/>
      <c r="E41" s="306"/>
      <c r="F41" s="172"/>
      <c r="G41" s="172"/>
      <c r="H41" s="172"/>
      <c r="I41" s="172"/>
      <c r="J41" s="172"/>
      <c r="K41" s="172"/>
      <c r="L41" s="172"/>
      <c r="M41" s="172"/>
      <c r="N41" s="222"/>
    </row>
    <row r="42" spans="1:14" ht="47.25" customHeight="1" x14ac:dyDescent="0.25">
      <c r="A42" s="3">
        <v>15</v>
      </c>
      <c r="B42" s="139" t="str">
        <f>IF('0 AVAL'!B50 = "", "", '0 AVAL'!B50)</f>
        <v/>
      </c>
      <c r="C42" s="139" t="str">
        <f>IF('0 AVAL'!C50 = "", "", '0 AVAL'!C50)</f>
        <v/>
      </c>
      <c r="D42" s="121"/>
      <c r="E42" s="306"/>
      <c r="F42" s="172"/>
      <c r="G42" s="172"/>
      <c r="H42" s="172"/>
      <c r="I42" s="172"/>
      <c r="J42" s="172"/>
      <c r="K42" s="172"/>
      <c r="L42" s="172"/>
      <c r="M42" s="172"/>
      <c r="N42" s="222"/>
    </row>
    <row r="43" spans="1:14" ht="47.25" customHeight="1" x14ac:dyDescent="0.25">
      <c r="A43" s="3">
        <v>16</v>
      </c>
      <c r="B43" s="139" t="str">
        <f>IF('0 AVAL'!B51 = "", "", '0 AVAL'!B51)</f>
        <v/>
      </c>
      <c r="C43" s="139" t="str">
        <f>IF('0 AVAL'!C51 = "", "", '0 AVAL'!C51)</f>
        <v/>
      </c>
      <c r="D43" s="121"/>
      <c r="E43" s="306"/>
      <c r="F43" s="172"/>
      <c r="G43" s="172"/>
      <c r="H43" s="172"/>
      <c r="I43" s="172"/>
      <c r="J43" s="172"/>
      <c r="K43" s="172"/>
      <c r="L43" s="172"/>
      <c r="M43" s="172"/>
      <c r="N43" s="222"/>
    </row>
    <row r="44" spans="1:14" ht="47.25" customHeight="1" x14ac:dyDescent="0.25">
      <c r="A44" s="3">
        <v>17</v>
      </c>
      <c r="B44" s="139" t="str">
        <f>IF('0 AVAL'!B52 = "", "", '0 AVAL'!B52)</f>
        <v/>
      </c>
      <c r="C44" s="139" t="str">
        <f>IF('0 AVAL'!C52 = "", "", '0 AVAL'!C52)</f>
        <v/>
      </c>
      <c r="D44" s="121"/>
      <c r="E44" s="306"/>
      <c r="F44" s="172"/>
      <c r="G44" s="172"/>
      <c r="H44" s="172"/>
      <c r="I44" s="172"/>
      <c r="J44" s="172"/>
      <c r="K44" s="172"/>
      <c r="L44" s="172"/>
      <c r="M44" s="172"/>
      <c r="N44" s="222"/>
    </row>
    <row r="45" spans="1:14" ht="47.25" customHeight="1" x14ac:dyDescent="0.25">
      <c r="A45" s="3">
        <v>18</v>
      </c>
      <c r="B45" s="139" t="str">
        <f>IF('0 AVAL'!B53 = "", "", '0 AVAL'!B53)</f>
        <v/>
      </c>
      <c r="C45" s="139" t="str">
        <f>IF('0 AVAL'!C53 = "", "", '0 AVAL'!C53)</f>
        <v/>
      </c>
      <c r="D45" s="121"/>
      <c r="E45" s="306"/>
      <c r="F45" s="172"/>
      <c r="G45" s="172"/>
      <c r="H45" s="172"/>
      <c r="I45" s="172"/>
      <c r="J45" s="172"/>
      <c r="K45" s="172"/>
      <c r="L45" s="172"/>
      <c r="M45" s="172"/>
      <c r="N45" s="222"/>
    </row>
    <row r="46" spans="1:14" ht="47.25" customHeight="1" x14ac:dyDescent="0.25">
      <c r="A46" s="3">
        <v>19</v>
      </c>
      <c r="B46" s="139" t="str">
        <f>IF('0 AVAL'!B54 = "", "", '0 AVAL'!B54)</f>
        <v/>
      </c>
      <c r="C46" s="139" t="str">
        <f>IF('0 AVAL'!C54 = "", "", '0 AVAL'!C54)</f>
        <v/>
      </c>
      <c r="D46" s="121"/>
      <c r="E46" s="306"/>
      <c r="F46" s="172"/>
      <c r="G46" s="172"/>
      <c r="H46" s="172"/>
      <c r="I46" s="172"/>
      <c r="J46" s="172"/>
      <c r="K46" s="172"/>
      <c r="L46" s="172"/>
      <c r="M46" s="172"/>
      <c r="N46" s="222"/>
    </row>
    <row r="47" spans="1:14" ht="47.25" customHeight="1" x14ac:dyDescent="0.25">
      <c r="A47" s="3">
        <v>20</v>
      </c>
      <c r="B47" s="139" t="str">
        <f>IF('0 AVAL'!B55 = "", "", '0 AVAL'!B55)</f>
        <v/>
      </c>
      <c r="C47" s="139" t="str">
        <f>IF('0 AVAL'!C55 = "", "", '0 AVAL'!C55)</f>
        <v/>
      </c>
      <c r="D47" s="121"/>
      <c r="E47" s="306"/>
      <c r="F47" s="172"/>
      <c r="G47" s="172"/>
      <c r="H47" s="172"/>
      <c r="I47" s="172"/>
      <c r="J47" s="172"/>
      <c r="K47" s="172"/>
      <c r="L47" s="172"/>
      <c r="M47" s="172"/>
      <c r="N47" s="222"/>
    </row>
    <row r="48" spans="1:14" ht="47.25" customHeight="1" x14ac:dyDescent="0.25">
      <c r="A48" s="3">
        <v>21</v>
      </c>
      <c r="B48" s="139" t="str">
        <f>IF('0 AVAL'!B56 = "", "", '0 AVAL'!B56)</f>
        <v/>
      </c>
      <c r="C48" s="139" t="str">
        <f>IF('0 AVAL'!C56 = "", "", '0 AVAL'!C56)</f>
        <v/>
      </c>
      <c r="D48" s="121"/>
      <c r="E48" s="306"/>
      <c r="F48" s="172"/>
      <c r="G48" s="172"/>
      <c r="H48" s="172"/>
      <c r="I48" s="172"/>
      <c r="J48" s="172"/>
      <c r="K48" s="172"/>
      <c r="L48" s="172"/>
      <c r="M48" s="172"/>
      <c r="N48" s="222"/>
    </row>
    <row r="49" spans="1:14" ht="47.25" customHeight="1" x14ac:dyDescent="0.25">
      <c r="A49" s="3">
        <v>22</v>
      </c>
      <c r="B49" s="139" t="str">
        <f>IF('0 AVAL'!B57 = "", "", '0 AVAL'!B57)</f>
        <v/>
      </c>
      <c r="C49" s="139" t="str">
        <f>IF('0 AVAL'!C57 = "", "", '0 AVAL'!C57)</f>
        <v/>
      </c>
      <c r="D49" s="121"/>
      <c r="E49" s="306"/>
      <c r="F49" s="172"/>
      <c r="G49" s="172"/>
      <c r="H49" s="172"/>
      <c r="I49" s="172"/>
      <c r="J49" s="172"/>
      <c r="K49" s="172"/>
      <c r="L49" s="172"/>
      <c r="M49" s="172"/>
      <c r="N49" s="222"/>
    </row>
    <row r="50" spans="1:14" ht="47.25" customHeight="1" x14ac:dyDescent="0.25">
      <c r="A50" s="3">
        <v>23</v>
      </c>
      <c r="B50" s="139" t="str">
        <f>IF('0 AVAL'!B58 = "", "", '0 AVAL'!B58)</f>
        <v/>
      </c>
      <c r="C50" s="139" t="str">
        <f>IF('0 AVAL'!C58 = "", "", '0 AVAL'!C58)</f>
        <v/>
      </c>
      <c r="D50" s="121"/>
      <c r="E50" s="306"/>
      <c r="F50" s="172"/>
      <c r="G50" s="172"/>
      <c r="H50" s="172"/>
      <c r="I50" s="172"/>
      <c r="J50" s="172"/>
      <c r="K50" s="172"/>
      <c r="L50" s="172"/>
      <c r="M50" s="172"/>
      <c r="N50" s="222"/>
    </row>
    <row r="51" spans="1:14" ht="47.25" customHeight="1" x14ac:dyDescent="0.25">
      <c r="A51" s="3">
        <v>24</v>
      </c>
      <c r="B51" s="139" t="str">
        <f>IF('0 AVAL'!B59 = "", "", '0 AVAL'!B59)</f>
        <v/>
      </c>
      <c r="C51" s="139" t="str">
        <f>IF('0 AVAL'!C59 = "", "", '0 AVAL'!C59)</f>
        <v/>
      </c>
      <c r="D51" s="121"/>
      <c r="E51" s="306"/>
      <c r="F51" s="172"/>
      <c r="G51" s="172"/>
      <c r="H51" s="172"/>
      <c r="I51" s="172"/>
      <c r="J51" s="172"/>
      <c r="K51" s="172"/>
      <c r="L51" s="172"/>
      <c r="M51" s="172"/>
      <c r="N51" s="222"/>
    </row>
    <row r="52" spans="1:14" ht="47.25" customHeight="1" x14ac:dyDescent="0.25">
      <c r="A52" s="3">
        <v>25</v>
      </c>
      <c r="B52" s="139" t="str">
        <f>IF('0 AVAL'!B60 = "", "", '0 AVAL'!B60)</f>
        <v/>
      </c>
      <c r="C52" s="139" t="str">
        <f>IF('0 AVAL'!C60 = "", "", '0 AVAL'!C60)</f>
        <v/>
      </c>
      <c r="D52" s="121"/>
      <c r="E52" s="306"/>
      <c r="F52" s="172"/>
      <c r="G52" s="172"/>
      <c r="H52" s="172"/>
      <c r="I52" s="172"/>
      <c r="J52" s="172"/>
      <c r="K52" s="172"/>
      <c r="L52" s="172"/>
      <c r="M52" s="172"/>
      <c r="N52" s="222"/>
    </row>
    <row r="53" spans="1:14" ht="47.25" customHeight="1" x14ac:dyDescent="0.25">
      <c r="A53" s="3">
        <v>26</v>
      </c>
      <c r="B53" s="139" t="str">
        <f>IF('0 AVAL'!B61 = "", "", '0 AVAL'!B61)</f>
        <v/>
      </c>
      <c r="C53" s="139" t="str">
        <f>IF('0 AVAL'!C61 = "", "", '0 AVAL'!C61)</f>
        <v/>
      </c>
      <c r="D53" s="121"/>
      <c r="E53" s="306"/>
      <c r="F53" s="172"/>
      <c r="G53" s="172"/>
      <c r="H53" s="172"/>
      <c r="I53" s="172"/>
      <c r="J53" s="172"/>
      <c r="K53" s="172"/>
      <c r="L53" s="172"/>
      <c r="M53" s="172"/>
      <c r="N53" s="222"/>
    </row>
    <row r="54" spans="1:14" ht="47.25" customHeight="1" x14ac:dyDescent="0.25">
      <c r="A54" s="3">
        <v>27</v>
      </c>
      <c r="B54" s="139" t="str">
        <f>IF('0 AVAL'!B62 = "", "", '0 AVAL'!B62)</f>
        <v/>
      </c>
      <c r="C54" s="139" t="str">
        <f>IF('0 AVAL'!C62 = "", "", '0 AVAL'!C62)</f>
        <v/>
      </c>
      <c r="D54" s="121"/>
      <c r="E54" s="306"/>
      <c r="F54" s="172"/>
      <c r="G54" s="172"/>
      <c r="H54" s="172"/>
      <c r="I54" s="172"/>
      <c r="J54" s="172"/>
      <c r="K54" s="172"/>
      <c r="L54" s="172"/>
      <c r="M54" s="172"/>
      <c r="N54" s="222"/>
    </row>
    <row r="55" spans="1:14" ht="47.25" customHeight="1" x14ac:dyDescent="0.25">
      <c r="A55" s="3">
        <v>28</v>
      </c>
      <c r="B55" s="139" t="str">
        <f>IF('0 AVAL'!B63 = "", "", '0 AVAL'!B63)</f>
        <v/>
      </c>
      <c r="C55" s="139" t="str">
        <f>IF('0 AVAL'!C63 = "", "", '0 AVAL'!C63)</f>
        <v/>
      </c>
      <c r="D55" s="121"/>
      <c r="E55" s="306"/>
      <c r="F55" s="172"/>
      <c r="G55" s="172"/>
      <c r="H55" s="172"/>
      <c r="I55" s="172"/>
      <c r="J55" s="172"/>
      <c r="K55" s="172"/>
      <c r="L55" s="172"/>
      <c r="M55" s="172"/>
      <c r="N55" s="222"/>
    </row>
    <row r="56" spans="1:14" ht="47.25" customHeight="1" x14ac:dyDescent="0.25">
      <c r="A56" s="3">
        <v>29</v>
      </c>
      <c r="B56" s="139" t="str">
        <f>IF('0 AVAL'!B64 = "", "", '0 AVAL'!B64)</f>
        <v/>
      </c>
      <c r="C56" s="139" t="str">
        <f>IF('0 AVAL'!C64 = "", "", '0 AVAL'!C64)</f>
        <v/>
      </c>
      <c r="D56" s="121"/>
      <c r="E56" s="306"/>
      <c r="F56" s="172"/>
      <c r="G56" s="172"/>
      <c r="H56" s="172"/>
      <c r="I56" s="172"/>
      <c r="J56" s="172"/>
      <c r="K56" s="172"/>
      <c r="L56" s="172"/>
      <c r="M56" s="172"/>
      <c r="N56" s="222"/>
    </row>
    <row r="57" spans="1:14" ht="47.25" customHeight="1" x14ac:dyDescent="0.25">
      <c r="A57" s="3">
        <v>30</v>
      </c>
      <c r="B57" s="139" t="str">
        <f>IF('0 AVAL'!B65 = "", "", '0 AVAL'!B65)</f>
        <v/>
      </c>
      <c r="C57" s="139" t="str">
        <f>IF('0 AVAL'!C65 = "", "", '0 AVAL'!C65)</f>
        <v/>
      </c>
      <c r="D57" s="121"/>
      <c r="E57" s="306"/>
      <c r="F57" s="172"/>
      <c r="G57" s="172"/>
      <c r="H57" s="172"/>
      <c r="I57" s="172"/>
      <c r="J57" s="172"/>
      <c r="K57" s="172"/>
      <c r="L57" s="172"/>
      <c r="M57" s="172"/>
      <c r="N57" s="222"/>
    </row>
    <row r="58" spans="1:14" ht="47.25" customHeight="1" x14ac:dyDescent="0.25">
      <c r="A58" s="3">
        <v>31</v>
      </c>
      <c r="B58" s="139" t="str">
        <f>IF('0 AVAL'!B66 = "", "", '0 AVAL'!B66)</f>
        <v/>
      </c>
      <c r="C58" s="139" t="str">
        <f>IF('0 AVAL'!C66 = "", "", '0 AVAL'!C66)</f>
        <v/>
      </c>
      <c r="D58" s="121"/>
      <c r="E58" s="157"/>
      <c r="F58" s="158"/>
      <c r="G58" s="158"/>
      <c r="H58" s="158"/>
      <c r="I58" s="158"/>
      <c r="J58" s="158"/>
      <c r="K58" s="158"/>
      <c r="L58" s="158"/>
      <c r="M58" s="158"/>
      <c r="N58" s="159"/>
    </row>
    <row r="59" spans="1:14" ht="47.25" customHeight="1" x14ac:dyDescent="0.25">
      <c r="A59" s="3">
        <v>32</v>
      </c>
      <c r="B59" s="139" t="str">
        <f>IF('0 AVAL'!B67 = "", "", '0 AVAL'!B67)</f>
        <v/>
      </c>
      <c r="C59" s="139" t="str">
        <f>IF('0 AVAL'!C67 = "", "", '0 AVAL'!C67)</f>
        <v/>
      </c>
      <c r="D59" s="121"/>
      <c r="E59" s="157"/>
      <c r="F59" s="158"/>
      <c r="G59" s="158"/>
      <c r="H59" s="158"/>
      <c r="I59" s="158"/>
      <c r="J59" s="158"/>
      <c r="K59" s="158"/>
      <c r="L59" s="158"/>
      <c r="M59" s="158"/>
      <c r="N59" s="159"/>
    </row>
    <row r="60" spans="1:14" ht="47.25" customHeight="1" x14ac:dyDescent="0.25">
      <c r="A60" s="3">
        <v>33</v>
      </c>
      <c r="B60" s="139" t="str">
        <f>IF('0 AVAL'!B68 = "", "", '0 AVAL'!B68)</f>
        <v/>
      </c>
      <c r="C60" s="139" t="str">
        <f>IF('0 AVAL'!C68 = "", "", '0 AVAL'!C68)</f>
        <v/>
      </c>
      <c r="D60" s="121"/>
      <c r="E60" s="157"/>
      <c r="F60" s="158"/>
      <c r="G60" s="158"/>
      <c r="H60" s="158"/>
      <c r="I60" s="158"/>
      <c r="J60" s="158"/>
      <c r="K60" s="158"/>
      <c r="L60" s="158"/>
      <c r="M60" s="158"/>
      <c r="N60" s="159"/>
    </row>
    <row r="61" spans="1:14" ht="47.25" customHeight="1" x14ac:dyDescent="0.25">
      <c r="A61" s="3">
        <v>34</v>
      </c>
      <c r="B61" s="139" t="str">
        <f>IF('0 AVAL'!B69 = "", "", '0 AVAL'!B69)</f>
        <v/>
      </c>
      <c r="C61" s="139" t="str">
        <f>IF('0 AVAL'!C69 = "", "", '0 AVAL'!C69)</f>
        <v/>
      </c>
      <c r="D61" s="121"/>
      <c r="E61" s="157"/>
      <c r="F61" s="158"/>
      <c r="G61" s="158"/>
      <c r="H61" s="158"/>
      <c r="I61" s="158"/>
      <c r="J61" s="158"/>
      <c r="K61" s="158"/>
      <c r="L61" s="158"/>
      <c r="M61" s="158"/>
      <c r="N61" s="159"/>
    </row>
    <row r="62" spans="1:14" ht="47.25" customHeight="1" x14ac:dyDescent="0.25">
      <c r="A62" s="3">
        <v>35</v>
      </c>
      <c r="B62" s="139" t="str">
        <f>IF('0 AVAL'!B70 = "", "", '0 AVAL'!B70)</f>
        <v/>
      </c>
      <c r="C62" s="139" t="str">
        <f>IF('0 AVAL'!C70 = "", "", '0 AVAL'!C70)</f>
        <v/>
      </c>
      <c r="D62" s="121"/>
      <c r="E62" s="157"/>
      <c r="F62" s="158"/>
      <c r="G62" s="158"/>
      <c r="H62" s="158"/>
      <c r="I62" s="158"/>
      <c r="J62" s="158"/>
      <c r="K62" s="158"/>
      <c r="L62" s="158"/>
      <c r="M62" s="158"/>
      <c r="N62" s="159"/>
    </row>
    <row r="63" spans="1:14" ht="47.25" customHeight="1" x14ac:dyDescent="0.25">
      <c r="A63" s="3">
        <v>36</v>
      </c>
      <c r="B63" s="139" t="str">
        <f>IF('0 AVAL'!B71 = "", "", '0 AVAL'!B71)</f>
        <v/>
      </c>
      <c r="C63" s="139" t="str">
        <f>IF('0 AVAL'!C71 = "", "", '0 AVAL'!C71)</f>
        <v/>
      </c>
      <c r="D63" s="121"/>
      <c r="E63" s="306"/>
      <c r="F63" s="172"/>
      <c r="G63" s="172"/>
      <c r="H63" s="172"/>
      <c r="I63" s="172"/>
      <c r="J63" s="172"/>
      <c r="K63" s="172"/>
      <c r="L63" s="172"/>
      <c r="M63" s="172"/>
      <c r="N63" s="222"/>
    </row>
    <row r="64" spans="1:14" ht="47.25" customHeight="1" x14ac:dyDescent="0.25">
      <c r="A64" s="3">
        <v>37</v>
      </c>
      <c r="B64" s="139" t="str">
        <f>IF('0 AVAL'!B72 = "", "", '0 AVAL'!B72)</f>
        <v/>
      </c>
      <c r="C64" s="139" t="str">
        <f>IF('0 AVAL'!C72 = "", "", '0 AVAL'!C72)</f>
        <v/>
      </c>
      <c r="D64" s="121"/>
      <c r="E64" s="306"/>
      <c r="F64" s="172"/>
      <c r="G64" s="172"/>
      <c r="H64" s="172"/>
      <c r="I64" s="172"/>
      <c r="J64" s="172"/>
      <c r="K64" s="172"/>
      <c r="L64" s="172"/>
      <c r="M64" s="172"/>
      <c r="N64" s="222"/>
    </row>
    <row r="65" spans="1:14" ht="47.25" customHeight="1" x14ac:dyDescent="0.25">
      <c r="A65" s="3">
        <v>38</v>
      </c>
      <c r="B65" s="139" t="str">
        <f>IF('0 AVAL'!B73 = "", "", '0 AVAL'!B73)</f>
        <v/>
      </c>
      <c r="C65" s="139" t="str">
        <f>IF('0 AVAL'!C73 = "", "", '0 AVAL'!C73)</f>
        <v/>
      </c>
      <c r="D65" s="121"/>
      <c r="E65" s="306"/>
      <c r="F65" s="172"/>
      <c r="G65" s="172"/>
      <c r="H65" s="172"/>
      <c r="I65" s="172"/>
      <c r="J65" s="172"/>
      <c r="K65" s="172"/>
      <c r="L65" s="172"/>
      <c r="M65" s="172"/>
      <c r="N65" s="222"/>
    </row>
    <row r="66" spans="1:14" ht="47.25" customHeight="1" x14ac:dyDescent="0.25">
      <c r="A66" s="3">
        <v>39</v>
      </c>
      <c r="B66" s="139" t="str">
        <f>IF('0 AVAL'!B74 = "", "", '0 AVAL'!B74)</f>
        <v/>
      </c>
      <c r="C66" s="139" t="str">
        <f>IF('0 AVAL'!C74 = "", "", '0 AVAL'!C74)</f>
        <v/>
      </c>
      <c r="D66" s="121"/>
      <c r="E66" s="306"/>
      <c r="F66" s="172"/>
      <c r="G66" s="172"/>
      <c r="H66" s="172"/>
      <c r="I66" s="172"/>
      <c r="J66" s="172"/>
      <c r="K66" s="172"/>
      <c r="L66" s="172"/>
      <c r="M66" s="172"/>
      <c r="N66" s="222"/>
    </row>
    <row r="67" spans="1:14" ht="54" customHeight="1" x14ac:dyDescent="0.25">
      <c r="A67" s="3">
        <v>40</v>
      </c>
      <c r="B67" s="139" t="str">
        <f>IF('0 AVAL'!B75 = "", "", '0 AVAL'!B75)</f>
        <v/>
      </c>
      <c r="C67" s="139" t="str">
        <f>IF('0 AVAL'!C75 = "", "", '0 AVAL'!C75)</f>
        <v/>
      </c>
      <c r="D67" s="121"/>
      <c r="E67" s="306"/>
      <c r="F67" s="172"/>
      <c r="G67" s="172"/>
      <c r="H67" s="172"/>
      <c r="I67" s="172"/>
      <c r="J67" s="172"/>
      <c r="K67" s="172"/>
      <c r="L67" s="172"/>
      <c r="M67" s="172"/>
      <c r="N67" s="222"/>
    </row>
    <row r="68" spans="1:14" ht="21.75" customHeight="1" thickBot="1" x14ac:dyDescent="0.3"/>
    <row r="69" spans="1:14" s="13" customFormat="1" ht="54" customHeight="1" thickBot="1" x14ac:dyDescent="0.3">
      <c r="B69" s="303" t="s">
        <v>134</v>
      </c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1"/>
    </row>
    <row r="70" spans="1:14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s="5" customFormat="1" ht="34.5" customHeight="1" x14ac:dyDescent="0.25">
      <c r="A71" s="105">
        <v>1</v>
      </c>
      <c r="B71" s="219"/>
      <c r="C71" s="172"/>
      <c r="D71" s="172"/>
      <c r="E71" s="172"/>
      <c r="F71" s="172"/>
      <c r="G71" s="172"/>
      <c r="H71" s="172"/>
      <c r="I71" s="172"/>
      <c r="J71" s="227" t="s">
        <v>52</v>
      </c>
      <c r="K71" s="200"/>
      <c r="L71" s="200"/>
      <c r="M71" s="200"/>
      <c r="N71" s="201"/>
    </row>
    <row r="72" spans="1:14" s="5" customFormat="1" ht="34.5" customHeight="1" x14ac:dyDescent="0.25">
      <c r="A72" s="105">
        <v>2</v>
      </c>
      <c r="B72" s="263"/>
      <c r="C72" s="193"/>
      <c r="D72" s="193"/>
      <c r="E72" s="193"/>
      <c r="F72" s="193"/>
      <c r="G72" s="193"/>
      <c r="H72" s="193"/>
      <c r="I72" s="193"/>
      <c r="J72" s="202"/>
      <c r="K72" s="267"/>
      <c r="L72" s="267"/>
      <c r="M72" s="267"/>
      <c r="N72" s="204"/>
    </row>
    <row r="73" spans="1:14" s="5" customFormat="1" ht="34.5" customHeight="1" x14ac:dyDescent="0.25">
      <c r="A73" s="105">
        <v>3</v>
      </c>
      <c r="B73" s="263"/>
      <c r="C73" s="193"/>
      <c r="D73" s="193"/>
      <c r="E73" s="193"/>
      <c r="F73" s="193"/>
      <c r="G73" s="193"/>
      <c r="H73" s="193"/>
      <c r="I73" s="193"/>
      <c r="J73" s="202"/>
      <c r="K73" s="267"/>
      <c r="L73" s="267"/>
      <c r="M73" s="267"/>
      <c r="N73" s="204"/>
    </row>
    <row r="74" spans="1:14" s="5" customFormat="1" ht="34.5" customHeight="1" x14ac:dyDescent="0.25">
      <c r="A74" s="105">
        <v>4</v>
      </c>
      <c r="B74" s="263"/>
      <c r="C74" s="193"/>
      <c r="D74" s="193"/>
      <c r="E74" s="193"/>
      <c r="F74" s="193"/>
      <c r="G74" s="193"/>
      <c r="H74" s="193"/>
      <c r="I74" s="193"/>
      <c r="J74" s="202"/>
      <c r="K74" s="267"/>
      <c r="L74" s="267"/>
      <c r="M74" s="267"/>
      <c r="N74" s="204"/>
    </row>
    <row r="75" spans="1:14" s="5" customFormat="1" ht="34.5" customHeight="1" x14ac:dyDescent="0.25">
      <c r="A75" s="105">
        <v>5</v>
      </c>
      <c r="B75" s="263"/>
      <c r="C75" s="193"/>
      <c r="D75" s="193"/>
      <c r="E75" s="193"/>
      <c r="F75" s="193"/>
      <c r="G75" s="193"/>
      <c r="H75" s="193"/>
      <c r="I75" s="193"/>
      <c r="J75" s="202"/>
      <c r="K75" s="267"/>
      <c r="L75" s="267"/>
      <c r="M75" s="267"/>
      <c r="N75" s="204"/>
    </row>
    <row r="76" spans="1:14" s="5" customFormat="1" ht="34.5" customHeight="1" x14ac:dyDescent="0.25">
      <c r="A76" s="105">
        <v>6</v>
      </c>
      <c r="B76" s="263"/>
      <c r="C76" s="193"/>
      <c r="D76" s="193"/>
      <c r="E76" s="193"/>
      <c r="F76" s="193"/>
      <c r="G76" s="193"/>
      <c r="H76" s="193"/>
      <c r="I76" s="193"/>
      <c r="J76" s="202"/>
      <c r="K76" s="267"/>
      <c r="L76" s="267"/>
      <c r="M76" s="267"/>
      <c r="N76" s="204"/>
    </row>
    <row r="77" spans="1:14" s="5" customFormat="1" ht="34.5" customHeight="1" thickBot="1" x14ac:dyDescent="0.3">
      <c r="A77" s="105">
        <v>7</v>
      </c>
      <c r="B77" s="262"/>
      <c r="C77" s="206"/>
      <c r="D77" s="206"/>
      <c r="E77" s="206"/>
      <c r="F77" s="206"/>
      <c r="G77" s="206"/>
      <c r="H77" s="206"/>
      <c r="I77" s="206"/>
      <c r="J77" s="205"/>
      <c r="K77" s="206"/>
      <c r="L77" s="206"/>
      <c r="M77" s="206"/>
      <c r="N77" s="207"/>
    </row>
    <row r="78" spans="1:14" x14ac:dyDescent="0.25">
      <c r="B78" s="232" t="s">
        <v>53</v>
      </c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 spans="1:14" ht="15.6" customHeight="1" x14ac:dyDescent="0.25"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</row>
  </sheetData>
  <mergeCells count="66">
    <mergeCell ref="J2:N2"/>
    <mergeCell ref="J3:M3"/>
    <mergeCell ref="B14:M14"/>
    <mergeCell ref="N14:Y14"/>
    <mergeCell ref="B15:N15"/>
    <mergeCell ref="J4:M4"/>
    <mergeCell ref="B2:C6"/>
    <mergeCell ref="J6:M6"/>
    <mergeCell ref="J7:M7"/>
    <mergeCell ref="B9:N9"/>
    <mergeCell ref="E43:N43"/>
    <mergeCell ref="E29:N29"/>
    <mergeCell ref="E35:N35"/>
    <mergeCell ref="E51:N51"/>
    <mergeCell ref="E36:N36"/>
    <mergeCell ref="E49:N49"/>
    <mergeCell ref="E46:N46"/>
    <mergeCell ref="E30:N30"/>
    <mergeCell ref="B78:N79"/>
    <mergeCell ref="B25:N25"/>
    <mergeCell ref="J5:M5"/>
    <mergeCell ref="E55:N55"/>
    <mergeCell ref="E42:N42"/>
    <mergeCell ref="B73:I73"/>
    <mergeCell ref="E52:N52"/>
    <mergeCell ref="E67:N67"/>
    <mergeCell ref="E33:N33"/>
    <mergeCell ref="G2:G6"/>
    <mergeCell ref="E39:N39"/>
    <mergeCell ref="E48:N48"/>
    <mergeCell ref="B12:N12"/>
    <mergeCell ref="E64:N64"/>
    <mergeCell ref="B71:I71"/>
    <mergeCell ref="E66:N66"/>
    <mergeCell ref="B22:N23"/>
    <mergeCell ref="E47:N47"/>
    <mergeCell ref="E50:N50"/>
    <mergeCell ref="D2:F6"/>
    <mergeCell ref="N11:Y11"/>
    <mergeCell ref="E31:N31"/>
    <mergeCell ref="B11:M11"/>
    <mergeCell ref="E27:N27"/>
    <mergeCell ref="E45:N45"/>
    <mergeCell ref="E44:N44"/>
    <mergeCell ref="B18:N18"/>
    <mergeCell ref="E38:N38"/>
    <mergeCell ref="E32:N32"/>
    <mergeCell ref="B20:N20"/>
    <mergeCell ref="E41:N41"/>
    <mergeCell ref="E37:N37"/>
    <mergeCell ref="B69:N69"/>
    <mergeCell ref="J71:N77"/>
    <mergeCell ref="B77:I77"/>
    <mergeCell ref="E28:N28"/>
    <mergeCell ref="B74:I74"/>
    <mergeCell ref="B75:I75"/>
    <mergeCell ref="B72:I72"/>
    <mergeCell ref="E63:N63"/>
    <mergeCell ref="B76:I76"/>
    <mergeCell ref="E65:N65"/>
    <mergeCell ref="E56:N56"/>
    <mergeCell ref="E57:N57"/>
    <mergeCell ref="E54:N54"/>
    <mergeCell ref="E53:N53"/>
    <mergeCell ref="E40:N40"/>
    <mergeCell ref="E34:N34"/>
  </mergeCells>
  <dataValidations count="1">
    <dataValidation type="date" allowBlank="1" showInputMessage="1" showErrorMessage="1" sqref="J7:M7" xr:uid="{00000000-0002-0000-0B00-000000000000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3"/>
  <sheetViews>
    <sheetView workbookViewId="0">
      <selection activeCell="F33" sqref="F33"/>
    </sheetView>
  </sheetViews>
  <sheetFormatPr baseColWidth="10" defaultColWidth="8.85546875" defaultRowHeight="15" x14ac:dyDescent="0.25"/>
  <cols>
    <col min="1" max="1" width="5" customWidth="1"/>
    <col min="2" max="2" width="12" customWidth="1"/>
    <col min="3" max="5" width="15" customWidth="1"/>
    <col min="6" max="6" width="23.85546875" customWidth="1"/>
    <col min="7" max="7" width="12" customWidth="1"/>
    <col min="8" max="8" width="8" customWidth="1"/>
    <col min="9" max="9" width="15" customWidth="1"/>
    <col min="10" max="10" width="25" customWidth="1"/>
    <col min="11" max="12" width="8" customWidth="1"/>
    <col min="13" max="13" width="12" customWidth="1"/>
    <col min="14" max="15" width="15" customWidth="1"/>
    <col min="16" max="17" width="25" customWidth="1"/>
    <col min="18" max="18" width="15" customWidth="1"/>
    <col min="19" max="19" width="10" customWidth="1"/>
    <col min="20" max="20" width="8" customWidth="1"/>
    <col min="21" max="21" width="10" customWidth="1"/>
    <col min="22" max="22" width="8" customWidth="1"/>
  </cols>
  <sheetData>
    <row r="1" spans="1:22" x14ac:dyDescent="0.25">
      <c r="J1" t="s">
        <v>137</v>
      </c>
      <c r="M1" t="s">
        <v>138</v>
      </c>
    </row>
    <row r="3" spans="1:22" x14ac:dyDescent="0.25">
      <c r="J3" t="s">
        <v>1</v>
      </c>
    </row>
    <row r="4" spans="1:22" x14ac:dyDescent="0.25">
      <c r="J4" t="s">
        <v>2</v>
      </c>
    </row>
    <row r="5" spans="1:22" x14ac:dyDescent="0.25">
      <c r="J5" t="s">
        <v>3</v>
      </c>
    </row>
    <row r="8" spans="1:22" ht="25.5" x14ac:dyDescent="0.25">
      <c r="A8" s="161" t="s">
        <v>139</v>
      </c>
      <c r="B8" s="161" t="s">
        <v>38</v>
      </c>
      <c r="C8" s="161" t="s">
        <v>140</v>
      </c>
      <c r="D8" s="161" t="s">
        <v>141</v>
      </c>
      <c r="E8" s="161" t="s">
        <v>142</v>
      </c>
      <c r="F8" s="161" t="s">
        <v>159</v>
      </c>
      <c r="G8" s="161" t="s">
        <v>143</v>
      </c>
      <c r="H8" s="161" t="s">
        <v>144</v>
      </c>
      <c r="I8" s="161" t="s">
        <v>145</v>
      </c>
      <c r="J8" s="161" t="s">
        <v>146</v>
      </c>
      <c r="K8" s="161" t="s">
        <v>147</v>
      </c>
      <c r="L8" s="161" t="s">
        <v>148</v>
      </c>
      <c r="M8" s="161" t="s">
        <v>149</v>
      </c>
      <c r="N8" s="161" t="s">
        <v>150</v>
      </c>
      <c r="O8" s="161" t="s">
        <v>151</v>
      </c>
      <c r="P8" s="161" t="s">
        <v>152</v>
      </c>
      <c r="Q8" s="161" t="s">
        <v>153</v>
      </c>
      <c r="R8" s="161" t="s">
        <v>154</v>
      </c>
      <c r="S8" s="161" t="s">
        <v>155</v>
      </c>
      <c r="T8" s="161" t="s">
        <v>156</v>
      </c>
      <c r="U8" s="161" t="s">
        <v>157</v>
      </c>
      <c r="V8" s="161" t="s">
        <v>158</v>
      </c>
    </row>
    <row r="9" spans="1:22" x14ac:dyDescent="0.25">
      <c r="A9" s="162">
        <v>1</v>
      </c>
      <c r="B9" s="162"/>
      <c r="C9" s="162"/>
      <c r="D9" s="162"/>
      <c r="E9" s="162"/>
      <c r="F9" s="163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</row>
    <row r="10" spans="1:22" x14ac:dyDescent="0.25">
      <c r="A10" s="162">
        <v>2</v>
      </c>
      <c r="B10" s="162"/>
      <c r="C10" s="162"/>
      <c r="D10" s="162"/>
      <c r="E10" s="162"/>
      <c r="F10" s="163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</row>
    <row r="11" spans="1:22" x14ac:dyDescent="0.25">
      <c r="A11" s="162">
        <v>3</v>
      </c>
      <c r="B11" s="162"/>
      <c r="C11" s="162"/>
      <c r="D11" s="162"/>
      <c r="E11" s="162"/>
      <c r="F11" s="163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</row>
    <row r="12" spans="1:22" x14ac:dyDescent="0.25">
      <c r="A12" s="162">
        <v>4</v>
      </c>
      <c r="B12" s="162"/>
      <c r="C12" s="162"/>
      <c r="D12" s="162"/>
      <c r="E12" s="162"/>
      <c r="F12" s="163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</row>
    <row r="13" spans="1:22" x14ac:dyDescent="0.25">
      <c r="A13" s="162">
        <v>5</v>
      </c>
      <c r="B13" s="162"/>
      <c r="C13" s="162"/>
      <c r="D13" s="162"/>
      <c r="E13" s="162"/>
      <c r="F13" s="163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</row>
    <row r="14" spans="1:22" x14ac:dyDescent="0.25">
      <c r="A14" s="162">
        <v>6</v>
      </c>
      <c r="B14" s="162"/>
      <c r="C14" s="162"/>
      <c r="D14" s="162"/>
      <c r="E14" s="162"/>
      <c r="F14" s="163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</row>
    <row r="15" spans="1:22" x14ac:dyDescent="0.25">
      <c r="A15" s="162">
        <v>7</v>
      </c>
      <c r="B15" s="162"/>
      <c r="C15" s="162"/>
      <c r="D15" s="162"/>
      <c r="E15" s="162"/>
      <c r="F15" s="163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</row>
    <row r="16" spans="1:22" x14ac:dyDescent="0.25">
      <c r="A16" s="162">
        <v>8</v>
      </c>
      <c r="B16" s="162"/>
      <c r="C16" s="162"/>
      <c r="D16" s="162"/>
      <c r="E16" s="162"/>
      <c r="F16" s="163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</row>
    <row r="17" spans="1:22" x14ac:dyDescent="0.25">
      <c r="A17" s="162">
        <v>9</v>
      </c>
      <c r="B17" s="162"/>
      <c r="C17" s="162"/>
      <c r="D17" s="162"/>
      <c r="E17" s="162"/>
      <c r="F17" s="163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</row>
    <row r="18" spans="1:22" x14ac:dyDescent="0.25">
      <c r="A18" s="162">
        <v>10</v>
      </c>
      <c r="B18" s="162"/>
      <c r="C18" s="162"/>
      <c r="D18" s="162"/>
      <c r="E18" s="162"/>
      <c r="F18" s="163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</row>
    <row r="19" spans="1:22" x14ac:dyDescent="0.25">
      <c r="A19" s="162">
        <v>11</v>
      </c>
      <c r="B19" s="162"/>
      <c r="C19" s="162"/>
      <c r="D19" s="162"/>
      <c r="E19" s="162"/>
      <c r="F19" s="163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</row>
    <row r="20" spans="1:22" x14ac:dyDescent="0.25">
      <c r="A20" s="162">
        <v>12</v>
      </c>
      <c r="B20" s="162"/>
      <c r="C20" s="162"/>
      <c r="D20" s="162"/>
      <c r="E20" s="162"/>
      <c r="F20" s="163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</row>
    <row r="21" spans="1:22" x14ac:dyDescent="0.25">
      <c r="A21" s="162">
        <v>13</v>
      </c>
      <c r="B21" s="162"/>
      <c r="C21" s="162"/>
      <c r="D21" s="162"/>
      <c r="E21" s="162"/>
      <c r="F21" s="163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</row>
    <row r="22" spans="1:22" x14ac:dyDescent="0.25">
      <c r="A22" s="162">
        <v>14</v>
      </c>
      <c r="B22" s="162"/>
      <c r="C22" s="162"/>
      <c r="D22" s="162"/>
      <c r="E22" s="162"/>
      <c r="F22" s="163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</row>
    <row r="23" spans="1:22" x14ac:dyDescent="0.25">
      <c r="A23" s="162">
        <v>15</v>
      </c>
      <c r="B23" s="162"/>
      <c r="C23" s="162"/>
      <c r="D23" s="162"/>
      <c r="E23" s="162"/>
      <c r="F23" s="163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</row>
    <row r="24" spans="1:22" x14ac:dyDescent="0.25">
      <c r="A24" s="162">
        <v>16</v>
      </c>
      <c r="B24" s="162"/>
      <c r="C24" s="162"/>
      <c r="D24" s="162"/>
      <c r="E24" s="162"/>
      <c r="F24" s="163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</row>
    <row r="25" spans="1:22" x14ac:dyDescent="0.25">
      <c r="A25" s="162">
        <v>17</v>
      </c>
      <c r="B25" s="162"/>
      <c r="C25" s="162"/>
      <c r="D25" s="162"/>
      <c r="E25" s="162"/>
      <c r="F25" s="163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</row>
    <row r="26" spans="1:22" x14ac:dyDescent="0.25">
      <c r="A26" s="162">
        <v>18</v>
      </c>
      <c r="B26" s="162"/>
      <c r="C26" s="162"/>
      <c r="D26" s="162"/>
      <c r="E26" s="162"/>
      <c r="F26" s="163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</row>
    <row r="27" spans="1:22" x14ac:dyDescent="0.25">
      <c r="A27" s="162">
        <v>19</v>
      </c>
      <c r="B27" s="162"/>
      <c r="C27" s="162"/>
      <c r="D27" s="162"/>
      <c r="E27" s="162"/>
      <c r="F27" s="163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</row>
    <row r="28" spans="1:22" x14ac:dyDescent="0.25">
      <c r="A28" s="162">
        <v>20</v>
      </c>
      <c r="B28" s="162"/>
      <c r="C28" s="162"/>
      <c r="D28" s="162"/>
      <c r="E28" s="162"/>
      <c r="F28" s="163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</row>
    <row r="29" spans="1:22" x14ac:dyDescent="0.25">
      <c r="A29" s="162">
        <v>21</v>
      </c>
      <c r="B29" s="162"/>
      <c r="C29" s="162"/>
      <c r="D29" s="162"/>
      <c r="E29" s="162"/>
      <c r="F29" s="163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</row>
    <row r="30" spans="1:22" x14ac:dyDescent="0.25">
      <c r="A30" s="162">
        <v>22</v>
      </c>
      <c r="B30" s="162"/>
      <c r="C30" s="162"/>
      <c r="D30" s="162"/>
      <c r="E30" s="162"/>
      <c r="F30" s="163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</row>
    <row r="31" spans="1:22" x14ac:dyDescent="0.25">
      <c r="A31" s="162">
        <v>23</v>
      </c>
      <c r="B31" s="162"/>
      <c r="C31" s="162"/>
      <c r="D31" s="162"/>
      <c r="E31" s="162"/>
      <c r="F31" s="163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</row>
    <row r="32" spans="1:22" x14ac:dyDescent="0.25">
      <c r="A32" s="162">
        <v>24</v>
      </c>
      <c r="B32" s="162"/>
      <c r="C32" s="162"/>
      <c r="D32" s="162"/>
      <c r="E32" s="162"/>
      <c r="F32" s="163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</row>
    <row r="33" spans="1:22" x14ac:dyDescent="0.25">
      <c r="A33" s="162">
        <v>25</v>
      </c>
      <c r="B33" s="162"/>
      <c r="C33" s="162"/>
      <c r="D33" s="162"/>
      <c r="E33" s="162"/>
      <c r="F33" s="163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ACORDS</vt:lpstr>
      <vt:lpstr>0 AVAL</vt:lpstr>
      <vt:lpstr>1a PARCIAL</vt:lpstr>
      <vt:lpstr>2a PARCIAL</vt:lpstr>
      <vt:lpstr>FE</vt:lpstr>
      <vt:lpstr>PI</vt:lpstr>
      <vt:lpstr>FINAL</vt:lpstr>
      <vt:lpstr>EXTRAORD</vt:lpstr>
      <vt:lpstr>ED01</vt:lpstr>
      <vt:lpstr>ED02</vt:lpstr>
      <vt:lpstr>ED03</vt:lpstr>
      <vt:lpstr>ficha_alum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Qiwei Liu</dc:creator>
  <cp:lastModifiedBy>Qiwei Liu</cp:lastModifiedBy>
  <dcterms:created xsi:type="dcterms:W3CDTF">2015-06-05T18:19:34Z</dcterms:created>
  <dcterms:modified xsi:type="dcterms:W3CDTF">2026-02-21T22:13:01Z</dcterms:modified>
</cp:coreProperties>
</file>