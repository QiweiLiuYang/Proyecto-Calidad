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3" yWindow="0" windowWidth="11866" windowHeight="15683" tabRatio="600" firstSheet="0" activeTab="2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CORDS" sheetId="2" state="visible" r:id="rId2"/>
    <sheet xmlns:r="http://schemas.openxmlformats.org/officeDocument/2006/relationships" name="0 AVAL" sheetId="3" state="visible" r:id="rId3"/>
    <sheet xmlns:r="http://schemas.openxmlformats.org/officeDocument/2006/relationships" name="1a PARCIAL" sheetId="4" state="visible" r:id="rId4"/>
    <sheet xmlns:r="http://schemas.openxmlformats.org/officeDocument/2006/relationships" name="2a PARCIAL" sheetId="5" state="visible" r:id="rId5"/>
    <sheet xmlns:r="http://schemas.openxmlformats.org/officeDocument/2006/relationships" name="FE" sheetId="6" state="visible" r:id="rId6"/>
    <sheet xmlns:r="http://schemas.openxmlformats.org/officeDocument/2006/relationships" name="PI" sheetId="7" state="visible" r:id="rId7"/>
    <sheet xmlns:r="http://schemas.openxmlformats.org/officeDocument/2006/relationships" name="FINAL" sheetId="8" state="visible" r:id="rId8"/>
    <sheet xmlns:r="http://schemas.openxmlformats.org/officeDocument/2006/relationships" name="EXTRAORD" sheetId="9" state="visible" r:id="rId9"/>
    <sheet xmlns:r="http://schemas.openxmlformats.org/officeDocument/2006/relationships" name="ED01" sheetId="10" state="visible" r:id="rId10"/>
    <sheet xmlns:r="http://schemas.openxmlformats.org/officeDocument/2006/relationships" name="ED02" sheetId="11" state="visible" r:id="rId11"/>
    <sheet xmlns:r="http://schemas.openxmlformats.org/officeDocument/2006/relationships" name="ED03" sheetId="12" state="visible" r:id="rId12"/>
    <sheet xmlns:r="http://schemas.openxmlformats.org/officeDocument/2006/relationships" name="ficha_alum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5">
    <font>
      <name val="Calibri"/>
      <family val="2"/>
      <color theme="1"/>
      <sz val="11"/>
      <scheme val="minor"/>
    </font>
    <font>
      <name val="Aptos Display"/>
      <family val="2"/>
      <color rgb="FF000000"/>
      <sz val="12"/>
    </font>
    <font>
      <name val="Aptos Display"/>
      <family val="2"/>
      <b val="1"/>
      <color rgb="FF000000"/>
      <sz val="14"/>
    </font>
    <font>
      <name val="Aptos Display"/>
      <family val="2"/>
      <b val="1"/>
      <color theme="1"/>
      <sz val="14"/>
    </font>
    <font>
      <name val="Apto display"/>
      <color rgb="FF000000"/>
      <sz val="12"/>
    </font>
    <font>
      <name val="Aptos Display"/>
      <family val="2"/>
      <b val="1"/>
      <color rgb="FF0722BA"/>
      <sz val="14"/>
    </font>
    <font>
      <name val="Aptos Display"/>
      <family val="2"/>
      <b val="1"/>
      <color rgb="FF000000"/>
      <sz val="12"/>
    </font>
    <font>
      <name val="Aptos Display"/>
      <family val="2"/>
      <color theme="0"/>
      <sz val="14"/>
    </font>
    <font>
      <name val="Aptos Display"/>
      <family val="2"/>
      <color rgb="FF000000"/>
      <sz val="12"/>
      <u val="single"/>
    </font>
    <font>
      <name val="Aptos Display"/>
      <family val="2"/>
      <color rgb="FF000000"/>
      <sz val="14"/>
    </font>
    <font>
      <name val="Apto display"/>
      <color rgb="FFFF0000"/>
      <sz val="12"/>
    </font>
    <font>
      <name val="Aptos Display"/>
      <family val="2"/>
      <color theme="0"/>
      <sz val="12"/>
    </font>
    <font>
      <name val="Aptos Display"/>
      <family val="2"/>
      <color theme="0"/>
      <sz val="11"/>
    </font>
    <font>
      <name val="Apto display"/>
      <color rgb="FF000000"/>
      <sz val="11"/>
    </font>
    <font>
      <name val="Aptos Display"/>
      <family val="2"/>
      <sz val="11"/>
    </font>
    <font>
      <name val="Aptos Display"/>
      <family val="2"/>
      <color rgb="FF000000"/>
      <sz val="11"/>
    </font>
    <font>
      <name val="Aptos Display"/>
      <family val="2"/>
      <color rgb="FF000000"/>
      <sz val="10"/>
    </font>
    <font>
      <name val="Aptos Display"/>
      <family val="2"/>
      <color rgb="FF000000"/>
      <sz val="16"/>
    </font>
    <font>
      <name val="Aptos Display"/>
      <family val="2"/>
      <color theme="1"/>
      <sz val="10"/>
    </font>
    <font>
      <name val="Aptos Display"/>
      <family val="2"/>
      <color theme="0"/>
      <sz val="16"/>
    </font>
    <font>
      <name val="Consolas"/>
      <charset val="1"/>
      <color rgb="FF242424"/>
      <sz val="11"/>
    </font>
    <font>
      <name val="Calibri Light"/>
      <family val="2"/>
      <color rgb="FF000000"/>
      <sz val="12"/>
    </font>
    <font>
      <name val="Aptos Display"/>
      <color rgb="FF000000"/>
      <sz val="12"/>
    </font>
    <font>
      <name val="Aptos Display"/>
      <color rgb="FF000000"/>
      <sz val="14"/>
    </font>
    <font>
      <name val="Aptos Display"/>
      <color theme="1"/>
      <sz val="10"/>
    </font>
    <font>
      <name val="Aptos Display"/>
      <color theme="0"/>
      <sz val="12"/>
    </font>
    <font>
      <name val="Aptos Display"/>
      <color theme="0"/>
      <sz val="16"/>
    </font>
    <font>
      <name val="Aptos Display"/>
      <sz val="12"/>
    </font>
    <font>
      <name val="Aptos Display"/>
      <color rgb="FFFF0000"/>
      <sz val="12"/>
    </font>
    <font>
      <name val="Aptos Display"/>
      <b val="1"/>
      <color rgb="FF000000"/>
      <sz val="11"/>
    </font>
    <font>
      <name val="Aptos Display"/>
      <family val="2"/>
      <i val="1"/>
      <color theme="1" tint="0.249977111117893"/>
      <sz val="9"/>
    </font>
    <font>
      <name val="Aptos Display"/>
      <color rgb="FF000000"/>
      <sz val="11"/>
    </font>
    <font>
      <name val="Aptos Display"/>
      <family val="2"/>
      <color theme="1" tint="0.249977111117893"/>
      <sz val="11"/>
    </font>
    <font>
      <name val="Aptos Display"/>
      <color rgb="FF000000"/>
      <sz val="9"/>
    </font>
    <font>
      <name val="Aptos Display"/>
      <color rgb="FF000000"/>
      <sz val="10"/>
    </font>
    <font>
      <name val="Aptos Display"/>
      <color rgb="FF000000"/>
      <sz val="16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Display"/>
      <family val="2"/>
      <color theme="2"/>
      <sz val="16"/>
    </font>
    <font>
      <name val="Aptos Display"/>
      <family val="2"/>
      <i val="1"/>
      <color rgb="FF000000"/>
      <sz val="10"/>
    </font>
    <font>
      <name val="Aptos Display"/>
      <family val="2"/>
      <i val="1"/>
      <color rgb="FF000000"/>
      <sz val="9"/>
    </font>
    <font>
      <name val="Aptos Display"/>
      <family val="2"/>
      <i val="1"/>
      <color rgb="FF000000"/>
      <sz val="12"/>
    </font>
    <font>
      <name val="Calibri Light"/>
      <family val="2"/>
      <color rgb="FF000000"/>
      <sz val="16"/>
    </font>
    <font>
      <name val="Calibri Light"/>
      <family val="2"/>
      <color theme="1"/>
      <sz val="10"/>
    </font>
    <font>
      <name val="Calibri Light"/>
      <family val="2"/>
      <color theme="0"/>
      <sz val="12"/>
    </font>
    <font>
      <name val="Aptos Display"/>
      <family val="2"/>
      <i val="1"/>
      <color rgb="FF000000"/>
      <sz val="11"/>
    </font>
    <font>
      <name val="Aptos Display"/>
      <family val="2"/>
      <b val="1"/>
      <color rgb="FF000000"/>
      <sz val="11"/>
    </font>
    <font>
      <name val="Aptos Display"/>
      <i val="1"/>
      <color rgb="FF000000"/>
      <sz val="10"/>
    </font>
    <font>
      <name val="Aptos Display"/>
      <b val="1"/>
      <i val="1"/>
      <color rgb="FF000000"/>
      <sz val="10"/>
    </font>
    <font>
      <name val="Aptos Display"/>
      <family val="2"/>
      <color theme="5" tint="-0.249977111117893"/>
      <sz val="12"/>
    </font>
    <font>
      <name val="Calibri"/>
      <color rgb="FF000000"/>
      <sz val="10"/>
      <scheme val="minor"/>
    </font>
    <font>
      <name val="Aptos Display"/>
      <family val="2"/>
      <i val="1"/>
      <color rgb="FF000000"/>
      <sz val="8"/>
    </font>
    <font>
      <name val="Aptos Display"/>
      <family val="2"/>
      <color theme="1" tint="0.3499862666707358"/>
      <sz val="11"/>
    </font>
    <font>
      <name val="Aptos Display"/>
      <family val="2"/>
      <b val="1"/>
      <color rgb="FF000000"/>
      <sz val="18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A8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D9D9D9"/>
        <bgColor rgb="00D9D9D9"/>
      </patternFill>
    </fill>
  </fills>
  <borders count="7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vertical="center"/>
    </xf>
    <xf numFmtId="0" fontId="11" fillId="5" borderId="5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14" fontId="14" fillId="4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" fillId="7" borderId="6" applyAlignment="1" pivotButton="0" quotePrefix="0" xfId="0">
      <alignment vertical="center" wrapText="1"/>
    </xf>
    <xf numFmtId="0" fontId="1" fillId="7" borderId="7" applyAlignment="1" pivotButton="0" quotePrefix="0" xfId="0">
      <alignment horizontal="left" vertical="center"/>
    </xf>
    <xf numFmtId="0" fontId="15" fillId="3" borderId="6" applyAlignment="1" pivotButton="0" quotePrefix="0" xfId="0">
      <alignment horizontal="center" vertical="center"/>
    </xf>
    <xf numFmtId="0" fontId="16" fillId="0" borderId="6" applyAlignment="1" pivotButton="0" quotePrefix="0" xfId="0">
      <alignment vertical="center" wrapText="1"/>
    </xf>
    <xf numFmtId="0" fontId="1" fillId="3" borderId="6" applyAlignment="1" pivotButton="0" quotePrefix="0" xfId="0">
      <alignment vertical="center" wrapText="1"/>
    </xf>
    <xf numFmtId="0" fontId="1" fillId="3" borderId="7" applyAlignment="1" pivotButton="0" quotePrefix="0" xfId="0">
      <alignment vertical="center"/>
    </xf>
    <xf numFmtId="0" fontId="1" fillId="4" borderId="6" applyAlignment="1" pivotButton="0" quotePrefix="0" xfId="0">
      <alignment vertical="center" wrapText="1"/>
    </xf>
    <xf numFmtId="0" fontId="1" fillId="4" borderId="7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left" vertical="center"/>
    </xf>
    <xf numFmtId="0" fontId="1" fillId="2" borderId="8" applyAlignment="1" pivotButton="0" quotePrefix="0" xfId="0">
      <alignment vertical="center"/>
    </xf>
    <xf numFmtId="0" fontId="16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vertical="center"/>
    </xf>
    <xf numFmtId="0" fontId="22" fillId="3" borderId="0" applyAlignment="1" pivotButton="0" quotePrefix="0" xfId="0">
      <alignment vertical="center"/>
    </xf>
    <xf numFmtId="0" fontId="26" fillId="3" borderId="0" applyAlignment="1" pivotButton="0" quotePrefix="0" xfId="0">
      <alignment horizontal="left" vertical="center"/>
    </xf>
    <xf numFmtId="0" fontId="29" fillId="0" borderId="17" applyAlignment="1" pivotButton="0" quotePrefix="0" xfId="0">
      <alignment vertical="center"/>
    </xf>
    <xf numFmtId="0" fontId="1" fillId="9" borderId="18" applyAlignment="1" pivotButton="0" quotePrefix="0" xfId="0">
      <alignment horizontal="center" vertical="center"/>
    </xf>
    <xf numFmtId="10" fontId="30" fillId="3" borderId="19" applyAlignment="1" pivotButton="0" quotePrefix="0" xfId="0">
      <alignment horizontal="center" vertical="center"/>
    </xf>
    <xf numFmtId="0" fontId="1" fillId="10" borderId="18" applyAlignment="1" pivotButton="0" quotePrefix="0" xfId="0">
      <alignment horizontal="center" vertical="center"/>
    </xf>
    <xf numFmtId="10" fontId="32" fillId="9" borderId="20" applyAlignment="1" pivotButton="0" quotePrefix="0" xfId="0">
      <alignment horizontal="center" vertical="center"/>
    </xf>
    <xf numFmtId="10" fontId="32" fillId="9" borderId="10" applyAlignment="1" pivotButton="0" quotePrefix="0" xfId="0">
      <alignment horizontal="center" vertical="center"/>
    </xf>
    <xf numFmtId="0" fontId="1" fillId="10" borderId="9" applyAlignment="1" pivotButton="0" quotePrefix="0" xfId="0">
      <alignment horizontal="center" vertical="center"/>
    </xf>
    <xf numFmtId="10" fontId="32" fillId="9" borderId="9" applyAlignment="1" pivotButton="0" quotePrefix="0" xfId="0">
      <alignment horizontal="center" vertical="center"/>
    </xf>
    <xf numFmtId="0" fontId="1" fillId="9" borderId="9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8" borderId="6" applyAlignment="1" pivotButton="0" quotePrefix="0" xfId="0">
      <alignment horizontal="center" vertical="center" wrapText="1"/>
    </xf>
    <xf numFmtId="0" fontId="34" fillId="8" borderId="18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1" fontId="33" fillId="0" borderId="21" applyAlignment="1" pivotButton="0" quotePrefix="0" xfId="0">
      <alignment horizontal="center" vertical="center" wrapText="1"/>
    </xf>
    <xf numFmtId="0" fontId="34" fillId="0" borderId="21" applyAlignment="1" pivotButton="0" quotePrefix="0" xfId="0">
      <alignment horizontal="center" vertical="center" wrapText="1"/>
    </xf>
    <xf numFmtId="0" fontId="22" fillId="9" borderId="0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0" fontId="1" fillId="2" borderId="9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9" fillId="3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40" fillId="0" borderId="0" applyAlignment="1" pivotButton="0" quotePrefix="0" xfId="0">
      <alignment horizontal="center" vertical="center"/>
    </xf>
    <xf numFmtId="10" fontId="32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10" fontId="32" fillId="3" borderId="0" applyAlignment="1" pivotButton="0" quotePrefix="0" xfId="0">
      <alignment horizontal="center" vertical="center"/>
    </xf>
    <xf numFmtId="0" fontId="1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28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4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46" fillId="3" borderId="0" applyAlignment="1" pivotButton="0" quotePrefix="0" xfId="0">
      <alignment horizontal="right" vertical="center"/>
    </xf>
    <xf numFmtId="0" fontId="15" fillId="3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/>
    </xf>
    <xf numFmtId="0" fontId="6" fillId="11" borderId="0" applyAlignment="1" pivotButton="0" quotePrefix="0" xfId="0">
      <alignment vertical="center"/>
    </xf>
    <xf numFmtId="0" fontId="21" fillId="11" borderId="0" applyAlignment="1" pivotButton="0" quotePrefix="0" xfId="0">
      <alignment vertical="center"/>
    </xf>
    <xf numFmtId="0" fontId="15" fillId="10" borderId="0" applyAlignment="1" pivotButton="0" quotePrefix="0" xfId="0">
      <alignment horizontal="center" vertical="center"/>
    </xf>
    <xf numFmtId="10" fontId="32" fillId="11" borderId="0" applyAlignment="1" pivotButton="0" quotePrefix="0" xfId="0">
      <alignment horizontal="center" vertical="center"/>
    </xf>
    <xf numFmtId="10" fontId="32" fillId="3" borderId="0" applyAlignment="1" pivotButton="0" quotePrefix="0" xfId="0">
      <alignment vertical="center"/>
    </xf>
    <xf numFmtId="0" fontId="45" fillId="3" borderId="0" applyAlignment="1" pivotButton="0" quotePrefix="0" xfId="0">
      <alignment horizontal="center" vertical="center"/>
    </xf>
    <xf numFmtId="0" fontId="46" fillId="11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1" fillId="9" borderId="0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/>
    </xf>
    <xf numFmtId="1" fontId="16" fillId="4" borderId="42" applyAlignment="1" pivotButton="0" quotePrefix="0" xfId="0">
      <alignment horizontal="center" vertical="center" wrapText="1"/>
    </xf>
    <xf numFmtId="0" fontId="15" fillId="0" borderId="42" applyAlignment="1" pivotButton="0" quotePrefix="0" xfId="0">
      <alignment horizontal="center" vertical="center" wrapText="1"/>
    </xf>
    <xf numFmtId="0" fontId="16" fillId="0" borderId="42" applyAlignment="1" pivotButton="0" quotePrefix="0" xfId="0">
      <alignment horizontal="center" vertical="center" wrapText="1"/>
    </xf>
    <xf numFmtId="0" fontId="15" fillId="0" borderId="43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44" applyAlignment="1" pivotButton="0" quotePrefix="0" xfId="0">
      <alignment horizontal="center" vertical="center" wrapText="1"/>
    </xf>
    <xf numFmtId="0" fontId="15" fillId="0" borderId="45" applyAlignment="1" pivotButton="0" quotePrefix="0" xfId="0">
      <alignment horizontal="center" vertical="center" wrapText="1"/>
    </xf>
    <xf numFmtId="0" fontId="16" fillId="0" borderId="45" applyAlignment="1" pivotButton="0" quotePrefix="0" xfId="0">
      <alignment horizontal="center" vertical="center" wrapText="1"/>
    </xf>
    <xf numFmtId="1" fontId="16" fillId="4" borderId="46" applyAlignment="1" pivotButton="0" quotePrefix="0" xfId="0">
      <alignment horizontal="center" vertical="center" wrapText="1"/>
    </xf>
    <xf numFmtId="0" fontId="15" fillId="0" borderId="46" applyAlignment="1" pivotButton="0" quotePrefix="0" xfId="0">
      <alignment horizontal="center" vertical="center" wrapText="1"/>
    </xf>
    <xf numFmtId="0" fontId="15" fillId="0" borderId="47" applyAlignment="1" pivotButton="0" quotePrefix="0" xfId="0">
      <alignment horizontal="center" vertical="center" wrapText="1"/>
    </xf>
    <xf numFmtId="0" fontId="16" fillId="0" borderId="47" applyAlignment="1" pivotButton="0" quotePrefix="0" xfId="0">
      <alignment horizontal="center" vertical="center" wrapText="1"/>
    </xf>
    <xf numFmtId="0" fontId="15" fillId="0" borderId="48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left" vertical="center" wrapText="1"/>
    </xf>
    <xf numFmtId="10" fontId="15" fillId="9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vertical="center"/>
    </xf>
    <xf numFmtId="0" fontId="1" fillId="9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/>
    </xf>
    <xf numFmtId="0" fontId="19" fillId="5" borderId="12" applyAlignment="1" pivotButton="0" quotePrefix="0" xfId="0">
      <alignment vertical="center"/>
    </xf>
    <xf numFmtId="0" fontId="19" fillId="5" borderId="13" applyAlignment="1" pivotButton="0" quotePrefix="0" xfId="0">
      <alignment vertical="center"/>
    </xf>
    <xf numFmtId="0" fontId="19" fillId="5" borderId="14" applyAlignment="1" pivotButton="0" quotePrefix="0" xfId="0">
      <alignment vertical="center"/>
    </xf>
    <xf numFmtId="0" fontId="19" fillId="3" borderId="0" applyAlignment="1" pivotButton="0" quotePrefix="0" xfId="0">
      <alignment vertical="center"/>
    </xf>
    <xf numFmtId="10" fontId="6" fillId="13" borderId="0" applyAlignment="1" pivotButton="0" quotePrefix="0" xfId="0">
      <alignment horizontal="center" vertical="center"/>
    </xf>
    <xf numFmtId="0" fontId="11" fillId="12" borderId="43" applyAlignment="1" pivotButton="0" quotePrefix="0" xfId="0">
      <alignment horizontal="center" vertical="center" wrapText="1"/>
    </xf>
    <xf numFmtId="0" fontId="11" fillId="12" borderId="44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vertical="center"/>
    </xf>
    <xf numFmtId="0" fontId="11" fillId="12" borderId="51" applyAlignment="1" pivotButton="0" quotePrefix="0" xfId="0">
      <alignment horizontal="center" vertical="center" wrapText="1"/>
    </xf>
    <xf numFmtId="0" fontId="11" fillId="3" borderId="13" applyAlignment="1" pivotButton="0" quotePrefix="0" xfId="0">
      <alignment vertical="center"/>
    </xf>
    <xf numFmtId="0" fontId="1" fillId="4" borderId="43" applyAlignment="1" pivotButton="0" quotePrefix="0" xfId="0">
      <alignment horizontal="center" vertical="center" wrapText="1"/>
    </xf>
    <xf numFmtId="0" fontId="1" fillId="4" borderId="44" applyAlignment="1" pivotButton="0" quotePrefix="0" xfId="0">
      <alignment horizontal="center" vertical="center" wrapText="1"/>
    </xf>
    <xf numFmtId="0" fontId="15" fillId="0" borderId="53" applyAlignment="1" pivotButton="0" quotePrefix="0" xfId="0">
      <alignment horizontal="center" vertical="center" wrapText="1"/>
    </xf>
    <xf numFmtId="0" fontId="15" fillId="3" borderId="0" applyAlignment="1" pivotButton="0" quotePrefix="0" xfId="0">
      <alignment vertical="center" wrapText="1"/>
    </xf>
    <xf numFmtId="0" fontId="15" fillId="4" borderId="43" applyAlignment="1" pivotButton="0" quotePrefix="0" xfId="0">
      <alignment horizontal="center" vertical="center" wrapText="1"/>
    </xf>
    <xf numFmtId="0" fontId="15" fillId="3" borderId="17" applyAlignment="1" pivotButton="0" quotePrefix="0" xfId="0">
      <alignment vertical="center" wrapText="1"/>
    </xf>
    <xf numFmtId="0" fontId="15" fillId="4" borderId="48" applyAlignment="1" pivotButton="0" quotePrefix="0" xfId="0">
      <alignment horizontal="center" vertical="center" wrapText="1"/>
    </xf>
    <xf numFmtId="0" fontId="41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10" fontId="32" fillId="9" borderId="59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 wrapText="1"/>
    </xf>
    <xf numFmtId="0" fontId="1" fillId="10" borderId="49" applyAlignment="1" pivotButton="0" quotePrefix="0" xfId="0">
      <alignment horizontal="center" vertical="center"/>
    </xf>
    <xf numFmtId="10" fontId="32" fillId="9" borderId="49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" fillId="8" borderId="15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center" vertical="center"/>
    </xf>
    <xf numFmtId="0" fontId="1" fillId="4" borderId="53" applyAlignment="1" pivotButton="0" quotePrefix="0" xfId="0">
      <alignment horizontal="center" vertical="center" wrapText="1"/>
    </xf>
    <xf numFmtId="0" fontId="1" fillId="4" borderId="54" applyAlignment="1" pivotButton="0" quotePrefix="0" xfId="0">
      <alignment horizontal="center" vertical="center" wrapText="1"/>
    </xf>
    <xf numFmtId="0" fontId="16" fillId="0" borderId="60" applyAlignment="1" pivotButton="0" quotePrefix="0" xfId="0">
      <alignment horizontal="center" vertical="center" wrapText="1"/>
    </xf>
    <xf numFmtId="0" fontId="16" fillId="0" borderId="60" applyAlignment="1" pivotButton="0" quotePrefix="0" xfId="0">
      <alignment vertical="center" wrapText="1"/>
    </xf>
    <xf numFmtId="0" fontId="16" fillId="0" borderId="42" applyAlignment="1" pivotButton="0" quotePrefix="0" xfId="0">
      <alignment vertical="center" wrapText="1"/>
    </xf>
    <xf numFmtId="0" fontId="16" fillId="3" borderId="18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10" fontId="32" fillId="3" borderId="1" applyAlignment="1" pivotButton="0" quotePrefix="0" xfId="0">
      <alignment horizontal="center" vertical="center"/>
    </xf>
    <xf numFmtId="10" fontId="32" fillId="3" borderId="59" applyAlignment="1" pivotButton="0" quotePrefix="0" xfId="0">
      <alignment horizontal="center" vertical="center"/>
    </xf>
    <xf numFmtId="0" fontId="46" fillId="0" borderId="0" applyAlignment="1" pivotButton="0" quotePrefix="0" xfId="0">
      <alignment vertical="center"/>
    </xf>
    <xf numFmtId="0" fontId="1" fillId="9" borderId="49" applyAlignment="1" pivotButton="0" quotePrefix="0" xfId="0">
      <alignment horizontal="center" vertical="center"/>
    </xf>
    <xf numFmtId="10" fontId="32" fillId="9" borderId="61" applyAlignment="1" pivotButton="0" quotePrefix="0" xfId="0">
      <alignment horizontal="center" vertical="center"/>
    </xf>
    <xf numFmtId="0" fontId="53" fillId="0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1" fillId="4" borderId="1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left" vertical="center"/>
    </xf>
    <xf numFmtId="0" fontId="1" fillId="4" borderId="3" applyAlignment="1" pivotButton="0" quotePrefix="0" xfId="0">
      <alignment horizontal="center" vertical="center"/>
    </xf>
    <xf numFmtId="0" fontId="19" fillId="5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/>
    </xf>
    <xf numFmtId="0" fontId="1" fillId="4" borderId="9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5" fillId="4" borderId="6" applyAlignment="1" pivotButton="0" quotePrefix="0" xfId="0">
      <alignment horizontal="left" vertical="center" wrapText="1"/>
    </xf>
    <xf numFmtId="0" fontId="15" fillId="4" borderId="9" applyAlignment="1" pivotButton="0" quotePrefix="0" xfId="0">
      <alignment horizontal="left" vertical="center" wrapText="1"/>
    </xf>
    <xf numFmtId="0" fontId="20" fillId="4" borderId="6" applyAlignment="1" pivotButton="0" quotePrefix="0" xfId="0">
      <alignment horizontal="left" vertical="center" wrapText="1"/>
    </xf>
    <xf numFmtId="0" fontId="20" fillId="4" borderId="9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2" borderId="10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0" fontId="22" fillId="2" borderId="11" applyAlignment="1" pivotButton="0" quotePrefix="0" xfId="0">
      <alignment horizontal="center" vertical="center"/>
    </xf>
    <xf numFmtId="0" fontId="22" fillId="0" borderId="15" applyAlignment="1" pivotButton="0" quotePrefix="0" xfId="0">
      <alignment horizontal="left" vertical="center" wrapText="1"/>
    </xf>
    <xf numFmtId="0" fontId="22" fillId="0" borderId="6" applyAlignment="1" pivotButton="0" quotePrefix="0" xfId="0">
      <alignment horizontal="left" vertical="center" wrapText="1"/>
    </xf>
    <xf numFmtId="0" fontId="22" fillId="4" borderId="9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14" fontId="25" fillId="5" borderId="4" applyAlignment="1" pivotButton="0" quotePrefix="0" xfId="0">
      <alignment horizontal="center" vertical="center"/>
    </xf>
    <xf numFmtId="0" fontId="26" fillId="5" borderId="12" applyAlignment="1" pivotButton="0" quotePrefix="0" xfId="0">
      <alignment horizontal="left" vertical="center"/>
    </xf>
    <xf numFmtId="0" fontId="26" fillId="5" borderId="13" applyAlignment="1" pivotButton="0" quotePrefix="0" xfId="0">
      <alignment horizontal="left" vertical="center"/>
    </xf>
    <xf numFmtId="0" fontId="26" fillId="5" borderId="14" applyAlignment="1" pivotButton="0" quotePrefix="0" xfId="0">
      <alignment horizontal="left" vertical="center"/>
    </xf>
    <xf numFmtId="0" fontId="22" fillId="8" borderId="0" applyAlignment="1" pivotButton="0" quotePrefix="0" xfId="0">
      <alignment horizontal="left" vertical="center"/>
    </xf>
    <xf numFmtId="0" fontId="22" fillId="8" borderId="16" applyAlignment="1" pivotButton="0" quotePrefix="0" xfId="0">
      <alignment horizontal="left" vertical="center"/>
    </xf>
    <xf numFmtId="0" fontId="29" fillId="0" borderId="17" applyAlignment="1" pivotButton="0" quotePrefix="0" xfId="0">
      <alignment horizontal="right" vertical="center"/>
    </xf>
    <xf numFmtId="0" fontId="29" fillId="3" borderId="17" applyAlignment="1" pivotButton="0" quotePrefix="0" xfId="0">
      <alignment horizontal="right" vertical="center"/>
    </xf>
    <xf numFmtId="0" fontId="31" fillId="0" borderId="0" applyAlignment="1" pivotButton="0" quotePrefix="0" xfId="0">
      <alignment horizontal="right" vertical="center"/>
    </xf>
    <xf numFmtId="0" fontId="31" fillId="3" borderId="0" applyAlignment="1" pivotButton="0" quotePrefix="0" xfId="0">
      <alignment horizontal="right" vertical="center"/>
    </xf>
    <xf numFmtId="0" fontId="31" fillId="3" borderId="17" applyAlignment="1" pivotButton="0" quotePrefix="0" xfId="0">
      <alignment horizontal="right" vertical="center"/>
    </xf>
    <xf numFmtId="0" fontId="34" fillId="0" borderId="15" applyAlignment="1" pivotButton="0" quotePrefix="0" xfId="0">
      <alignment horizontal="left" vertical="center" wrapText="1"/>
    </xf>
    <xf numFmtId="0" fontId="34" fillId="0" borderId="6" applyAlignment="1" pivotButton="0" quotePrefix="0" xfId="0">
      <alignment horizontal="left" vertical="center" wrapText="1"/>
    </xf>
    <xf numFmtId="0" fontId="33" fillId="0" borderId="4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8" borderId="6" applyAlignment="1" pivotButton="0" quotePrefix="0" xfId="0">
      <alignment horizontal="center" vertical="center" wrapText="1"/>
    </xf>
    <xf numFmtId="0" fontId="26" fillId="5" borderId="12" applyAlignment="1" pivotButton="0" quotePrefix="0" xfId="0">
      <alignment horizontal="left" vertical="center" wrapText="1"/>
    </xf>
    <xf numFmtId="0" fontId="26" fillId="5" borderId="13" applyAlignment="1" pivotButton="0" quotePrefix="0" xfId="0">
      <alignment horizontal="left" vertical="center" wrapText="1"/>
    </xf>
    <xf numFmtId="0" fontId="26" fillId="5" borderId="14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35" fillId="3" borderId="22" applyAlignment="1" pivotButton="0" quotePrefix="0" xfId="0">
      <alignment horizontal="center" vertical="center" wrapText="1"/>
    </xf>
    <xf numFmtId="0" fontId="35" fillId="3" borderId="18" applyAlignment="1" pivotButton="0" quotePrefix="0" xfId="0">
      <alignment horizontal="center" vertical="center" wrapText="1"/>
    </xf>
    <xf numFmtId="0" fontId="35" fillId="3" borderId="23" applyAlignment="1" pivotButton="0" quotePrefix="0" xfId="0">
      <alignment horizontal="center" vertical="center" wrapText="1"/>
    </xf>
    <xf numFmtId="0" fontId="35" fillId="3" borderId="24" applyAlignment="1" pivotButton="0" quotePrefix="0" xfId="0">
      <alignment horizontal="center" vertical="center" wrapText="1"/>
    </xf>
    <xf numFmtId="0" fontId="35" fillId="3" borderId="0" applyAlignment="1" pivotButton="0" quotePrefix="0" xfId="0">
      <alignment horizontal="center" vertical="center" wrapText="1"/>
    </xf>
    <xf numFmtId="0" fontId="35" fillId="3" borderId="25" applyAlignment="1" pivotButton="0" quotePrefix="0" xfId="0">
      <alignment horizontal="center" vertical="center" wrapText="1"/>
    </xf>
    <xf numFmtId="0" fontId="35" fillId="3" borderId="26" applyAlignment="1" pivotButton="0" quotePrefix="0" xfId="0">
      <alignment horizontal="center" vertical="center" wrapText="1"/>
    </xf>
    <xf numFmtId="0" fontId="35" fillId="3" borderId="8" applyAlignment="1" pivotButton="0" quotePrefix="0" xfId="0">
      <alignment horizontal="center" vertical="center" wrapText="1"/>
    </xf>
    <xf numFmtId="0" fontId="35" fillId="3" borderId="27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28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4" fontId="11" fillId="5" borderId="4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  <xf numFmtId="0" fontId="1" fillId="8" borderId="6" applyAlignment="1" pivotButton="0" quotePrefix="0" xfId="0">
      <alignment horizontal="center" vertical="center" wrapText="1"/>
    </xf>
    <xf numFmtId="0" fontId="1" fillId="8" borderId="28" applyAlignment="1" pivotButton="0" quotePrefix="0" xfId="0">
      <alignment horizontal="center" vertical="center" wrapText="1"/>
    </xf>
    <xf numFmtId="0" fontId="38" fillId="5" borderId="12" applyAlignment="1" pivotButton="0" quotePrefix="0" xfId="0">
      <alignment horizontal="left" vertical="center"/>
    </xf>
    <xf numFmtId="0" fontId="38" fillId="5" borderId="13" applyAlignment="1" pivotButton="0" quotePrefix="0" xfId="0">
      <alignment horizontal="left" vertical="center"/>
    </xf>
    <xf numFmtId="0" fontId="38" fillId="5" borderId="14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5" fillId="3" borderId="29" applyAlignment="1" pivotButton="0" quotePrefix="0" xfId="0">
      <alignment horizontal="left" vertical="top" wrapText="1"/>
    </xf>
    <xf numFmtId="0" fontId="15" fillId="3" borderId="30" applyAlignment="1" pivotButton="0" quotePrefix="0" xfId="0">
      <alignment horizontal="left" vertical="top" wrapText="1"/>
    </xf>
    <xf numFmtId="0" fontId="15" fillId="3" borderId="31" applyAlignment="1" pivotButton="0" quotePrefix="0" xfId="0">
      <alignment horizontal="left" vertical="top" wrapText="1"/>
    </xf>
    <xf numFmtId="0" fontId="15" fillId="3" borderId="32" applyAlignment="1" pivotButton="0" quotePrefix="0" xfId="0">
      <alignment horizontal="left" vertical="top" wrapText="1"/>
    </xf>
    <xf numFmtId="0" fontId="15" fillId="3" borderId="0" applyAlignment="1" pivotButton="0" quotePrefix="0" xfId="0">
      <alignment horizontal="left" vertical="top" wrapText="1"/>
    </xf>
    <xf numFmtId="0" fontId="15" fillId="3" borderId="33" applyAlignment="1" pivotButton="0" quotePrefix="0" xfId="0">
      <alignment horizontal="left" vertical="top" wrapText="1"/>
    </xf>
    <xf numFmtId="0" fontId="15" fillId="3" borderId="35" applyAlignment="1" pivotButton="0" quotePrefix="0" xfId="0">
      <alignment horizontal="left" vertical="top" wrapText="1"/>
    </xf>
    <xf numFmtId="0" fontId="15" fillId="3" borderId="36" applyAlignment="1" pivotButton="0" quotePrefix="0" xfId="0">
      <alignment horizontal="left" vertical="top" wrapText="1"/>
    </xf>
    <xf numFmtId="0" fontId="15" fillId="3" borderId="37" applyAlignment="1" pivotButton="0" quotePrefix="0" xfId="0">
      <alignment horizontal="left" vertical="top" wrapText="1"/>
    </xf>
    <xf numFmtId="0" fontId="22" fillId="0" borderId="4" applyAlignment="1" pivotButton="0" quotePrefix="0" xfId="0">
      <alignment horizontal="center" vertical="center"/>
    </xf>
    <xf numFmtId="0" fontId="15" fillId="3" borderId="0" applyAlignment="1" pivotButton="0" quotePrefix="0" xfId="0">
      <alignment horizontal="right" vertical="center" wrapText="1"/>
    </xf>
    <xf numFmtId="0" fontId="19" fillId="5" borderId="12" applyAlignment="1" pivotButton="0" quotePrefix="0" xfId="0">
      <alignment horizontal="left" vertical="center"/>
    </xf>
    <xf numFmtId="0" fontId="19" fillId="5" borderId="13" applyAlignment="1" pivotButton="0" quotePrefix="0" xfId="0">
      <alignment horizontal="left" vertical="center"/>
    </xf>
    <xf numFmtId="0" fontId="19" fillId="5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28" applyAlignment="1" pivotButton="0" quotePrefix="0" xfId="0">
      <alignment horizontal="left" vertical="center" wrapText="1"/>
    </xf>
    <xf numFmtId="0" fontId="19" fillId="5" borderId="38" applyAlignment="1" pivotButton="0" quotePrefix="0" xfId="0">
      <alignment horizontal="left" vertical="center"/>
    </xf>
    <xf numFmtId="0" fontId="19" fillId="5" borderId="39" applyAlignment="1" pivotButton="0" quotePrefix="0" xfId="0">
      <alignment horizontal="left" vertical="center"/>
    </xf>
    <xf numFmtId="0" fontId="19" fillId="5" borderId="40" applyAlignment="1" pivotButton="0" quotePrefix="0" xfId="0">
      <alignment horizontal="left" vertical="center"/>
    </xf>
    <xf numFmtId="0" fontId="19" fillId="5" borderId="41" applyAlignment="1" pivotButton="0" quotePrefix="0" xfId="0">
      <alignment horizontal="left" vertical="center"/>
    </xf>
    <xf numFmtId="0" fontId="1" fillId="9" borderId="6" applyAlignment="1" pivotButton="0" quotePrefix="0" xfId="0">
      <alignment horizontal="left" vertical="center"/>
    </xf>
    <xf numFmtId="0" fontId="1" fillId="3" borderId="6" applyAlignment="1" pivotButton="0" quotePrefix="0" xfId="0">
      <alignment horizontal="left" vertical="center"/>
    </xf>
    <xf numFmtId="0" fontId="1" fillId="9" borderId="16" applyAlignment="1" pivotButton="0" quotePrefix="0" xfId="0">
      <alignment horizontal="left" vertical="center"/>
    </xf>
    <xf numFmtId="0" fontId="1" fillId="3" borderId="6" applyAlignment="1" pivotButton="0" quotePrefix="0" xfId="0">
      <alignment horizontal="left" vertical="center" wrapText="1"/>
    </xf>
    <xf numFmtId="0" fontId="41" fillId="0" borderId="4" applyAlignment="1" pivotButton="0" quotePrefix="0" xfId="0">
      <alignment horizontal="center" vertical="center" wrapText="1"/>
    </xf>
    <xf numFmtId="0" fontId="41" fillId="0" borderId="4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1" fillId="9" borderId="8" applyAlignment="1" pivotButton="0" quotePrefix="0" xfId="0">
      <alignment horizontal="left" vertical="center"/>
    </xf>
    <xf numFmtId="0" fontId="1" fillId="3" borderId="9" applyAlignment="1" pivotButton="0" quotePrefix="0" xfId="0">
      <alignment horizontal="left" vertical="center"/>
    </xf>
    <xf numFmtId="0" fontId="17" fillId="3" borderId="22" applyAlignment="1" pivotButton="0" quotePrefix="0" xfId="0">
      <alignment horizontal="center" vertical="center" wrapText="1"/>
    </xf>
    <xf numFmtId="0" fontId="17" fillId="3" borderId="18" applyAlignment="1" pivotButton="0" quotePrefix="0" xfId="0">
      <alignment horizontal="center" vertical="center" wrapText="1"/>
    </xf>
    <xf numFmtId="0" fontId="17" fillId="3" borderId="23" applyAlignment="1" pivotButton="0" quotePrefix="0" xfId="0">
      <alignment horizontal="center" vertical="center" wrapText="1"/>
    </xf>
    <xf numFmtId="0" fontId="17" fillId="3" borderId="24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center" vertical="center" wrapText="1"/>
    </xf>
    <xf numFmtId="0" fontId="17" fillId="3" borderId="25" applyAlignment="1" pivotButton="0" quotePrefix="0" xfId="0">
      <alignment horizontal="center" vertical="center" wrapText="1"/>
    </xf>
    <xf numFmtId="0" fontId="17" fillId="3" borderId="26" applyAlignment="1" pivotButton="0" quotePrefix="0" xfId="0">
      <alignment horizontal="center" vertical="center" wrapText="1"/>
    </xf>
    <xf numFmtId="0" fontId="17" fillId="3" borderId="8" applyAlignment="1" pivotButton="0" quotePrefix="0" xfId="0">
      <alignment horizontal="center" vertical="center" wrapText="1"/>
    </xf>
    <xf numFmtId="0" fontId="17" fillId="3" borderId="2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11" fillId="5" borderId="4" applyAlignment="1" pivotButton="0" quotePrefix="0" xfId="0">
      <alignment horizontal="center" vertical="center"/>
    </xf>
    <xf numFmtId="0" fontId="47" fillId="3" borderId="0" applyAlignment="1" pivotButton="0" quotePrefix="0" xfId="0">
      <alignment horizontal="left" vertical="top" wrapText="1"/>
    </xf>
    <xf numFmtId="0" fontId="39" fillId="3" borderId="0" applyAlignment="1" pivotButton="0" quotePrefix="0" xfId="0">
      <alignment horizontal="left" vertical="top" wrapText="1"/>
    </xf>
    <xf numFmtId="0" fontId="39" fillId="3" borderId="36" applyAlignment="1" pivotButton="0" quotePrefix="0" xfId="0">
      <alignment horizontal="left" vertical="top" wrapText="1"/>
    </xf>
    <xf numFmtId="0" fontId="39" fillId="3" borderId="0" applyAlignment="1" pivotButton="0" quotePrefix="0" xfId="0">
      <alignment horizontal="left" vertical="center" wrapText="1"/>
    </xf>
    <xf numFmtId="0" fontId="15" fillId="0" borderId="29" applyAlignment="1" pivotButton="0" quotePrefix="0" xfId="0">
      <alignment horizontal="left" vertical="top"/>
    </xf>
    <xf numFmtId="0" fontId="15" fillId="0" borderId="30" applyAlignment="1" pivotButton="0" quotePrefix="0" xfId="0">
      <alignment horizontal="left" vertical="top"/>
    </xf>
    <xf numFmtId="0" fontId="15" fillId="0" borderId="31" applyAlignment="1" pivotButton="0" quotePrefix="0" xfId="0">
      <alignment horizontal="left" vertical="top"/>
    </xf>
    <xf numFmtId="0" fontId="15" fillId="0" borderId="35" applyAlignment="1" pivotButton="0" quotePrefix="0" xfId="0">
      <alignment horizontal="left" vertical="top"/>
    </xf>
    <xf numFmtId="0" fontId="15" fillId="0" borderId="36" applyAlignment="1" pivotButton="0" quotePrefix="0" xfId="0">
      <alignment horizontal="left" vertical="top"/>
    </xf>
    <xf numFmtId="0" fontId="15" fillId="0" borderId="37" applyAlignment="1" pivotButton="0" quotePrefix="0" xfId="0">
      <alignment horizontal="left" vertical="top"/>
    </xf>
    <xf numFmtId="0" fontId="6" fillId="3" borderId="0" applyAlignment="1" pivotButton="0" quotePrefix="0" xfId="0">
      <alignment horizontal="center" vertical="center"/>
    </xf>
    <xf numFmtId="0" fontId="15" fillId="0" borderId="42" applyAlignment="1" pivotButton="0" quotePrefix="0" xfId="0">
      <alignment horizontal="center" vertical="center" wrapText="1"/>
    </xf>
    <xf numFmtId="0" fontId="15" fillId="0" borderId="43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44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" fillId="2" borderId="6" applyAlignment="1" pivotButton="0" quotePrefix="0" xfId="0">
      <alignment horizontal="left" vertical="center"/>
    </xf>
    <xf numFmtId="0" fontId="1" fillId="2" borderId="18" applyAlignment="1" pivotButton="0" quotePrefix="0" xfId="0">
      <alignment horizontal="left" vertical="center"/>
    </xf>
    <xf numFmtId="0" fontId="1" fillId="3" borderId="8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15" fillId="0" borderId="46" applyAlignment="1" pivotButton="0" quotePrefix="0" xfId="0">
      <alignment horizontal="center" vertical="center" wrapText="1"/>
    </xf>
    <xf numFmtId="0" fontId="15" fillId="0" borderId="48" applyAlignment="1" pivotButton="0" quotePrefix="0" xfId="0">
      <alignment horizontal="center" vertical="center" wrapText="1"/>
    </xf>
    <xf numFmtId="0" fontId="15" fillId="0" borderId="49" applyAlignment="1" pivotButton="0" quotePrefix="0" xfId="0">
      <alignment horizontal="center" vertical="center" wrapText="1"/>
    </xf>
    <xf numFmtId="0" fontId="15" fillId="0" borderId="50" applyAlignment="1" pivotButton="0" quotePrefix="0" xfId="0">
      <alignment horizontal="center" vertical="center" wrapText="1"/>
    </xf>
    <xf numFmtId="0" fontId="1" fillId="3" borderId="16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2" borderId="44" applyAlignment="1" pivotButton="0" quotePrefix="0" xfId="0">
      <alignment horizontal="center" vertical="center" wrapText="1"/>
    </xf>
    <xf numFmtId="0" fontId="11" fillId="12" borderId="34" applyAlignment="1" pivotButton="0" quotePrefix="0" xfId="0">
      <alignment horizontal="center" vertical="center" wrapText="1"/>
    </xf>
    <xf numFmtId="0" fontId="11" fillId="12" borderId="52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center" vertical="center" wrapText="1"/>
    </xf>
    <xf numFmtId="0" fontId="15" fillId="0" borderId="54" applyAlignment="1" pivotButton="0" quotePrefix="0" xfId="0">
      <alignment horizontal="center" vertical="center" wrapText="1"/>
    </xf>
    <xf numFmtId="0" fontId="19" fillId="5" borderId="17" applyAlignment="1" pivotButton="0" quotePrefix="0" xfId="0">
      <alignment horizontal="left" vertical="center"/>
    </xf>
    <xf numFmtId="0" fontId="17" fillId="3" borderId="55" applyAlignment="1" pivotButton="0" quotePrefix="0" xfId="0">
      <alignment horizontal="center" vertical="center" wrapText="1"/>
    </xf>
    <xf numFmtId="0" fontId="17" fillId="3" borderId="34" applyAlignment="1" pivotButton="0" quotePrefix="0" xfId="0">
      <alignment horizontal="center" vertical="center" wrapText="1"/>
    </xf>
    <xf numFmtId="0" fontId="17" fillId="3" borderId="56" applyAlignment="1" pivotButton="0" quotePrefix="0" xfId="0">
      <alignment horizontal="center" vertical="center" wrapText="1"/>
    </xf>
    <xf numFmtId="0" fontId="17" fillId="3" borderId="57" applyAlignment="1" pivotButton="0" quotePrefix="0" xfId="0">
      <alignment horizontal="center" vertical="center" wrapText="1"/>
    </xf>
    <xf numFmtId="0" fontId="17" fillId="3" borderId="10" applyAlignment="1" pivotButton="0" quotePrefix="0" xfId="0">
      <alignment horizontal="center" vertical="center" wrapText="1"/>
    </xf>
    <xf numFmtId="0" fontId="17" fillId="3" borderId="58" applyAlignment="1" pivotButton="0" quotePrefix="0" xfId="0">
      <alignment horizontal="center" vertical="center" wrapText="1"/>
    </xf>
    <xf numFmtId="0" fontId="1" fillId="8" borderId="16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 wrapText="1"/>
    </xf>
    <xf numFmtId="0" fontId="16" fillId="0" borderId="42" applyAlignment="1" pivotButton="0" quotePrefix="0" xfId="0">
      <alignment horizontal="center" vertical="center" wrapText="1"/>
    </xf>
    <xf numFmtId="0" fontId="16" fillId="0" borderId="43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44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center" vertical="center"/>
    </xf>
    <xf numFmtId="0" fontId="15" fillId="8" borderId="28" applyAlignment="1" pivotButton="0" quotePrefix="0" xfId="0">
      <alignment horizontal="center" vertical="center"/>
    </xf>
    <xf numFmtId="0" fontId="16" fillId="0" borderId="60" applyAlignment="1" pivotButton="0" quotePrefix="0" xfId="0">
      <alignment horizontal="center" vertical="center" wrapText="1"/>
    </xf>
    <xf numFmtId="0" fontId="16" fillId="0" borderId="5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54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52" fillId="0" borderId="0" applyAlignment="1" pivotButton="0" quotePrefix="0" xfId="0">
      <alignment horizontal="right" vertical="center" wrapText="1"/>
    </xf>
    <xf numFmtId="0" fontId="1" fillId="8" borderId="6" applyAlignment="1" pivotButton="0" quotePrefix="0" xfId="0">
      <alignment horizontal="center" vertical="center"/>
    </xf>
    <xf numFmtId="0" fontId="1" fillId="8" borderId="28" applyAlignment="1" pivotButton="0" quotePrefix="0" xfId="0">
      <alignment horizontal="center" vertical="center"/>
    </xf>
    <xf numFmtId="0" fontId="16" fillId="0" borderId="4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44" applyAlignment="1" pivotButton="0" quotePrefix="0" xfId="0">
      <alignment horizontal="left" vertical="center" wrapText="1"/>
    </xf>
    <xf numFmtId="0" fontId="16" fillId="0" borderId="53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4" applyAlignment="1" pivotButton="0" quotePrefix="0" xfId="0">
      <alignment horizontal="left" vertical="center" wrapText="1"/>
    </xf>
    <xf numFmtId="0" fontId="1" fillId="9" borderId="62" applyAlignment="1" pivotButton="0" quotePrefix="0" xfId="0">
      <alignment horizontal="left" vertical="center"/>
    </xf>
    <xf numFmtId="0" fontId="1" fillId="9" borderId="3" applyAlignment="1" pivotButton="0" quotePrefix="0" xfId="0">
      <alignment horizontal="left" vertical="center"/>
    </xf>
    <xf numFmtId="0" fontId="1" fillId="0" borderId="43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44" applyAlignment="1" pivotButton="0" quotePrefix="0" xfId="0">
      <alignment horizontal="left" vertical="top" wrapText="1"/>
    </xf>
    <xf numFmtId="0" fontId="1" fillId="3" borderId="51" applyAlignment="1" pivotButton="0" quotePrefix="0" xfId="0">
      <alignment horizontal="left" vertical="top" wrapText="1"/>
    </xf>
    <xf numFmtId="0" fontId="1" fillId="3" borderId="34" applyAlignment="1" pivotButton="0" quotePrefix="0" xfId="0">
      <alignment horizontal="left" vertical="top" wrapText="1"/>
    </xf>
    <xf numFmtId="0" fontId="1" fillId="3" borderId="52" applyAlignment="1" pivotButton="0" quotePrefix="0" xfId="0">
      <alignment horizontal="left" vertical="top" wrapText="1"/>
    </xf>
    <xf numFmtId="0" fontId="1" fillId="3" borderId="53" applyAlignment="1" pivotButton="0" quotePrefix="0" xfId="0">
      <alignment horizontal="left" vertical="top" wrapText="1"/>
    </xf>
    <xf numFmtId="0" fontId="1" fillId="3" borderId="10" applyAlignment="1" pivotButton="0" quotePrefix="0" xfId="0">
      <alignment horizontal="left" vertical="top" wrapText="1"/>
    </xf>
    <xf numFmtId="0" fontId="1" fillId="3" borderId="54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63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left" vertical="top" wrapText="1"/>
    </xf>
    <xf numFmtId="0" fontId="1" fillId="0" borderId="64" applyAlignment="1" pivotButton="0" quotePrefix="0" xfId="0">
      <alignment horizontal="left" vertical="top" wrapText="1"/>
    </xf>
    <xf numFmtId="0" fontId="19" fillId="5" borderId="38" applyAlignment="1" pivotButton="0" quotePrefix="0" xfId="0">
      <alignment horizontal="left" vertical="center" wrapText="1"/>
    </xf>
    <xf numFmtId="0" fontId="19" fillId="5" borderId="39" applyAlignment="1" pivotButton="0" quotePrefix="0" xfId="0">
      <alignment horizontal="left" vertical="center" wrapText="1"/>
    </xf>
    <xf numFmtId="0" fontId="19" fillId="5" borderId="4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6" fillId="5" borderId="5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26" fillId="5" borderId="5" applyAlignment="1" pivotButton="0" quotePrefix="0" xfId="0">
      <alignment horizontal="left" vertical="center" wrapText="1"/>
    </xf>
    <xf numFmtId="0" fontId="35" fillId="3" borderId="6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27" pivotButton="0" quotePrefix="0" xfId="0"/>
    <xf numFmtId="0" fontId="1" fillId="0" borderId="21" applyAlignment="1" pivotButton="0" quotePrefix="0" xfId="0">
      <alignment horizontal="left" vertical="center"/>
    </xf>
    <xf numFmtId="0" fontId="0" fillId="0" borderId="28" pivotButton="0" quotePrefix="0" xfId="0"/>
    <xf numFmtId="0" fontId="38" fillId="5" borderId="5" applyAlignment="1" pivotButton="0" quotePrefix="0" xfId="0">
      <alignment horizontal="left" vertical="center"/>
    </xf>
    <xf numFmtId="0" fontId="15" fillId="3" borderId="70" applyAlignment="1" pivotButton="0" quotePrefix="0" xfId="0">
      <alignment horizontal="left" vertical="top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19" fillId="5" borderId="5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 wrapText="1"/>
    </xf>
    <xf numFmtId="0" fontId="19" fillId="5" borderId="67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1" pivotButton="0" quotePrefix="0" xfId="0"/>
    <xf numFmtId="0" fontId="17" fillId="3" borderId="65" applyAlignment="1" pivotButton="0" quotePrefix="0" xfId="0">
      <alignment horizontal="center" vertical="center" wrapText="1"/>
    </xf>
    <xf numFmtId="0" fontId="47" fillId="3" borderId="36" applyAlignment="1" pivotButton="0" quotePrefix="0" xfId="0">
      <alignment horizontal="left" vertical="top" wrapText="1"/>
    </xf>
    <xf numFmtId="0" fontId="15" fillId="0" borderId="70" applyAlignment="1" pivotButton="0" quotePrefix="0" xfId="0">
      <alignment horizontal="left" vertical="top"/>
    </xf>
    <xf numFmtId="0" fontId="0" fillId="0" borderId="44" pivotButton="0" quotePrefix="0" xfId="0"/>
    <xf numFmtId="0" fontId="0" fillId="0" borderId="50" pivotButton="0" quotePrefix="0" xfId="0"/>
    <xf numFmtId="0" fontId="0" fillId="0" borderId="49" pivotButton="0" quotePrefix="0" xfId="0"/>
    <xf numFmtId="0" fontId="0" fillId="0" borderId="52" pivotButton="0" quotePrefix="0" xfId="0"/>
    <xf numFmtId="0" fontId="0" fillId="0" borderId="54" pivotButton="0" quotePrefix="0" xfId="0"/>
    <xf numFmtId="0" fontId="17" fillId="3" borderId="7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16" fillId="0" borderId="60" applyAlignment="1" pivotButton="0" quotePrefix="0" xfId="0">
      <alignment horizontal="left" vertical="center" wrapText="1"/>
    </xf>
    <xf numFmtId="0" fontId="16" fillId="0" borderId="42" applyAlignment="1" pivotButton="0" quotePrefix="0" xfId="0">
      <alignment horizontal="left" vertical="center" wrapText="1"/>
    </xf>
    <xf numFmtId="0" fontId="0" fillId="0" borderId="62" pivotButton="0" quotePrefix="0" xfId="0"/>
    <xf numFmtId="0" fontId="1" fillId="0" borderId="42" applyAlignment="1" pivotButton="0" quotePrefix="0" xfId="0">
      <alignment horizontal="left" vertical="top" wrapText="1"/>
    </xf>
    <xf numFmtId="0" fontId="1" fillId="3" borderId="42" applyAlignment="1" pivotButton="0" quotePrefix="0" xfId="0">
      <alignment horizontal="left" vertical="top" wrapText="1"/>
    </xf>
    <xf numFmtId="0" fontId="0" fillId="0" borderId="53" pivotButton="0" quotePrefix="0" xfId="0"/>
    <xf numFmtId="0" fontId="1" fillId="0" borderId="73" applyAlignment="1" pivotButton="0" quotePrefix="0" xfId="0">
      <alignment horizontal="left" vertical="top" wrapText="1"/>
    </xf>
    <xf numFmtId="0" fontId="0" fillId="0" borderId="64" pivotButton="0" quotePrefix="0" xfId="0"/>
    <xf numFmtId="0" fontId="1" fillId="0" borderId="21" applyAlignment="1" pivotButton="0" quotePrefix="0" xfId="0">
      <alignment horizontal="left" vertical="top" wrapText="1"/>
    </xf>
    <xf numFmtId="0" fontId="19" fillId="5" borderId="67" applyAlignment="1" pivotButton="0" quotePrefix="0" xfId="0">
      <alignment horizontal="left" vertical="center" wrapText="1"/>
    </xf>
    <xf numFmtId="0" fontId="54" fillId="14" borderId="76" applyAlignment="1" pivotButton="0" quotePrefix="0" xfId="0">
      <alignment horizontal="center" vertical="center" wrapText="1"/>
    </xf>
    <xf numFmtId="0" fontId="0" fillId="0" borderId="76" applyAlignment="1" pivotButton="0" quotePrefix="0" xfId="0">
      <alignment vertical="center"/>
    </xf>
  </cellXfs>
  <cellStyles count="1">
    <cellStyle name="Normal" xfId="0" builtinId="0"/>
  </cellStyles>
  <dxfs count="39"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5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5" tint="0.5999633777886288"/>
        </patternFill>
      </fill>
    </dxf>
    <dxf>
      <font>
        <color theme="1"/>
      </font>
      <fill>
        <patternFill>
          <bgColor theme="6" tint="0.5999633777886288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5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5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theme="5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5" tint="0.3999450666829432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5" tint="0.3999450666829432"/>
        </patternFill>
      </fill>
    </dxf>
    <dxf>
      <font>
        <color theme="0"/>
      </font>
      <fill>
        <patternFill patternType="solid">
          <bgColor rgb="FFED6B6B"/>
        </patternFill>
      </fill>
    </dxf>
    <dxf>
      <font>
        <color theme="0"/>
      </font>
      <fill>
        <patternFill patternType="solid">
          <bgColor rgb="FFED6B6B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0"/>
      </font>
      <fill>
        <patternFill patternType="solid">
          <bgColor rgb="FFED6B6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creaa</author>
  </authors>
  <commentList>
    <comment ref="D35" authorId="0" shapeId="0">
      <text>
        <t xml:space="preserve"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
</t>
      </text>
    </comment>
  </commentList>
</comments>
</file>

<file path=xl/comments/comment2.xml><?xml version="1.0" encoding="utf-8"?>
<comments xmlns="http://schemas.openxmlformats.org/spreadsheetml/2006/main">
  <authors>
    <author>creaa</author>
  </authors>
  <commentList>
    <comment ref="D35" authorId="0" shapeId="0">
      <text>
        <t xml:space="preserve"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
</t>
      </text>
    </comment>
  </commentList>
</comments>
</file>

<file path=xl/comments/comment3.xml><?xml version="1.0" encoding="utf-8"?>
<comments xmlns="http://schemas.openxmlformats.org/spreadsheetml/2006/main">
  <authors>
    <author>creaa</author>
  </authors>
  <commentList>
    <comment ref="D38" authorId="0" shapeId="0">
      <text>
        <t xml:space="preserve"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
</t>
      </text>
    </comment>
  </commentList>
</comments>
</file>

<file path=xl/comments/comment4.xml><?xml version="1.0" encoding="utf-8"?>
<comments xmlns="http://schemas.openxmlformats.org/spreadsheetml/2006/main">
  <authors>
    <author>creaa</author>
  </authors>
  <commentList>
    <comment ref="G34" authorId="0" shapeId="0">
      <text>
        <t xml:space="preserve">NO PROMOCIÓ A 2N:
BÀSICA: Els mòduls professionals pendents associats a estàndards de competència superen el 20% de l'horari setmanal i no s'ha superat almenys un dels àmbits distints del professional.
MITJÀ I SUPERIOR: No haver superat almenys el 80% del total de les hores lectives del primer curs (200 hores)
</t>
      </text>
    </comment>
    <comment ref="D38" authorId="0" shapeId="0">
      <text>
        <t xml:space="preserve"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
</t>
      </text>
    </comment>
  </commentList>
</comments>
</file>

<file path=xl/comments/comment5.xml><?xml version="1.0" encoding="utf-8"?>
<comments xmlns="http://schemas.openxmlformats.org/spreadsheetml/2006/main">
  <authors>
    <author>creaa</author>
  </authors>
  <commentList>
    <comment ref="G15" authorId="0" shapeId="0">
      <text>
        <t xml:space="preserve">NO PROMOCIÓ A 2N:
BÀSICA: Els mòduls professionals pendents associats a estàndards de competència superen el 20% de l'horari setmanal i no s'ha superat almenys un dels àmbits distints del professional.
MITJÀ I SUPERIOR: No haver superat almenys el 80% del total de les hores lectives del primer curs (200 hores)
</t>
      </text>
    </comment>
    <comment ref="D23" authorId="0" shapeId="0">
      <text>
        <t xml:space="preserve"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
</t>
      </text>
    </comment>
  </commentList>
</comments>
</file>

<file path=xl/comments/comment6.xml><?xml version="1.0" encoding="utf-8"?>
<comments xmlns="http://schemas.openxmlformats.org/spreadsheetml/2006/main">
  <authors>
    <author>creaa</author>
  </authors>
  <commentList>
    <comment ref="D27" authorId="0" shapeId="0">
      <text>
        <t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</t>
      </text>
    </comment>
  </commentList>
</comments>
</file>

<file path=xl/comments/comment7.xml><?xml version="1.0" encoding="utf-8"?>
<comments xmlns="http://schemas.openxmlformats.org/spreadsheetml/2006/main">
  <authors>
    <author>creaa</author>
  </authors>
  <commentList>
    <comment ref="D27" authorId="0" shapeId="0">
      <text>
        <t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</t>
      </text>
    </comment>
  </commentList>
</comments>
</file>

<file path=xl/comments/comment8.xml><?xml version="1.0" encoding="utf-8"?>
<comments xmlns="http://schemas.openxmlformats.org/spreadsheetml/2006/main">
  <authors>
    <author>creaa</author>
  </authors>
  <commentList>
    <comment ref="D27" authorId="0" shapeId="0">
      <text>
        <t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43"/>
  <sheetViews>
    <sheetView workbookViewId="0">
      <selection activeCell="G3" sqref="G3:I4"/>
    </sheetView>
  </sheetViews>
  <sheetFormatPr baseColWidth="10" defaultColWidth="0" defaultRowHeight="15" zeroHeight="1"/>
  <cols>
    <col width="3.265625" customWidth="1" style="5" min="1" max="1"/>
    <col width="46" customWidth="1" style="5" min="2" max="2"/>
    <col width="46" customWidth="1" style="12" min="3" max="3"/>
    <col width="11.73046875" customWidth="1" style="5" min="4" max="12"/>
    <col width="31.73046875" customWidth="1" style="5" min="13" max="13"/>
    <col width="12.59765625" customWidth="1" style="5" min="14" max="14"/>
    <col hidden="1" style="5" min="15" max="22"/>
    <col hidden="1" width="4.3984375" customWidth="1" style="5" min="23" max="184"/>
    <col hidden="1" style="5" min="185" max="16384"/>
  </cols>
  <sheetData>
    <row r="1" ht="15.75" customHeight="1">
      <c r="B1" s="248" t="n"/>
      <c r="C1" s="2" t="n"/>
      <c r="D1" s="248" t="n"/>
      <c r="E1" s="248" t="n"/>
      <c r="F1" s="3" t="inlineStr">
        <is>
          <t>PC03.F01 Acta d'avaluació Ed.02 - Setem.25</t>
        </is>
      </c>
      <c r="G1" s="3" t="n"/>
      <c r="H1" s="3" t="n"/>
      <c r="I1" s="4" t="n"/>
      <c r="J1" s="4" t="n"/>
      <c r="K1" s="4" t="n"/>
      <c r="L1" s="4" t="n"/>
      <c r="M1" s="3" t="n"/>
    </row>
    <row r="2" ht="15.75" customHeight="1">
      <c r="B2" s="188" t="e">
        <v>#VALUE!</v>
      </c>
      <c r="C2" s="188" t="e">
        <v>#VALUE!</v>
      </c>
      <c r="D2" s="189" t="n"/>
      <c r="E2" s="248" t="n"/>
      <c r="F2" s="248" t="n"/>
      <c r="G2" s="248" t="n"/>
      <c r="H2" s="248" t="n"/>
      <c r="I2" s="248" t="n"/>
      <c r="J2" s="248" t="n"/>
      <c r="K2" s="248" t="n"/>
      <c r="L2" s="248" t="n"/>
      <c r="M2" s="248" t="n"/>
    </row>
    <row r="3" ht="15.75" customHeight="1">
      <c r="E3" s="191" t="inlineStr">
        <is>
          <t>GRUP</t>
        </is>
      </c>
      <c r="F3" s="383" t="n"/>
      <c r="G3" s="192" t="n"/>
      <c r="H3" s="383" t="n"/>
      <c r="I3" s="383" t="n"/>
      <c r="J3" s="7" t="n"/>
      <c r="K3" s="8" t="n"/>
      <c r="L3" s="8" t="n"/>
      <c r="M3" s="8" t="n"/>
    </row>
    <row r="4" ht="15.75" customHeight="1">
      <c r="E4" s="191" t="inlineStr">
        <is>
          <t>TUTOR/A</t>
        </is>
      </c>
      <c r="F4" s="383" t="n"/>
      <c r="G4" s="193" t="n"/>
      <c r="H4" s="383" t="n"/>
      <c r="I4" s="383" t="n"/>
      <c r="J4" s="9" t="n"/>
      <c r="K4" s="9" t="n"/>
      <c r="L4" s="9" t="n"/>
      <c r="M4" s="9" t="n"/>
    </row>
    <row r="5" ht="15.75" customHeight="1" thickBot="1">
      <c r="E5" s="194" t="inlineStr">
        <is>
          <t>CURS ESCOLAR</t>
        </is>
      </c>
      <c r="F5" s="384" t="n"/>
      <c r="G5" s="195" t="inlineStr">
        <is>
          <t>2025-2026</t>
        </is>
      </c>
      <c r="H5" s="385" t="n"/>
      <c r="I5" s="385" t="n"/>
      <c r="J5" s="10" t="n"/>
      <c r="K5" s="7" t="n"/>
      <c r="L5" s="7" t="n"/>
      <c r="M5" s="7" t="n"/>
    </row>
    <row r="6" ht="15.75" customHeight="1"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</row>
    <row r="7">
      <c r="C7" s="186" t="n"/>
      <c r="D7" s="186" t="n"/>
      <c r="G7" s="185" t="n"/>
    </row>
    <row r="8" ht="15.4" customHeight="1" thickBot="1">
      <c r="H8" s="13" t="n"/>
    </row>
    <row r="9" ht="6.75" customHeight="1">
      <c r="B9" s="187" t="n"/>
      <c r="C9" s="386" t="n"/>
      <c r="D9" s="386" t="n"/>
      <c r="E9" s="386" t="n"/>
      <c r="F9" s="386" t="n"/>
      <c r="G9" s="386" t="n"/>
      <c r="H9" s="386" t="n"/>
      <c r="I9" s="386" t="n"/>
      <c r="J9" s="386" t="n"/>
      <c r="K9" s="386" t="n"/>
      <c r="L9" s="386" t="n"/>
      <c r="M9" s="386" t="n"/>
    </row>
    <row r="10" ht="32.25" customFormat="1" customHeight="1" s="17">
      <c r="B10" s="14" t="inlineStr">
        <is>
          <t xml:space="preserve">MÒDUL </t>
        </is>
      </c>
      <c r="C10" s="14" t="inlineStr">
        <is>
          <t>DOCENT</t>
        </is>
      </c>
      <c r="D10" s="15" t="inlineStr">
        <is>
          <t>0 AVAL</t>
        </is>
      </c>
      <c r="E10" s="15" t="inlineStr">
        <is>
          <t>1aPARCIAL</t>
        </is>
      </c>
      <c r="F10" s="15" t="inlineStr">
        <is>
          <t>2aPARCIAL</t>
        </is>
      </c>
      <c r="G10" s="15" t="inlineStr">
        <is>
          <t>ACCÉS FE</t>
        </is>
      </c>
      <c r="H10" s="15" t="inlineStr">
        <is>
          <t>ORDINARIA</t>
        </is>
      </c>
      <c r="I10" s="15" t="inlineStr">
        <is>
          <t>EXTRAOR.</t>
        </is>
      </c>
      <c r="J10" s="16" t="inlineStr">
        <is>
          <t>EQUIP DOCENT</t>
        </is>
      </c>
      <c r="K10" s="16" t="inlineStr">
        <is>
          <t>EQUIP DOCENT</t>
        </is>
      </c>
      <c r="L10" s="16" t="inlineStr">
        <is>
          <t>EQUIP DOCENT</t>
        </is>
      </c>
      <c r="M10" s="15" t="inlineStr">
        <is>
          <t>OBSERVACIONS</t>
        </is>
      </c>
    </row>
    <row r="11" ht="24" customFormat="1" customHeight="1" s="17">
      <c r="B11" s="18" t="n"/>
      <c r="C11" s="18" t="n"/>
      <c r="D11" s="19" t="n">
        <v>45901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20" t="n"/>
    </row>
    <row r="12" ht="36" customHeight="1">
      <c r="B12" s="21" t="inlineStr">
        <is>
          <t>TUTOR/A</t>
        </is>
      </c>
      <c r="C12" s="22">
        <f>G4</f>
        <v/>
      </c>
      <c r="D12" s="23" t="inlineStr">
        <is>
          <t>Assisteix</t>
        </is>
      </c>
      <c r="E12" s="23" t="inlineStr">
        <is>
          <t>Assisteix</t>
        </is>
      </c>
      <c r="F12" s="23" t="inlineStr">
        <is>
          <t>Assisteix</t>
        </is>
      </c>
      <c r="G12" s="23" t="inlineStr">
        <is>
          <t>Assisteix</t>
        </is>
      </c>
      <c r="H12" s="23" t="inlineStr">
        <is>
          <t>Assisteix</t>
        </is>
      </c>
      <c r="I12" s="23" t="inlineStr">
        <is>
          <t>Assisteix</t>
        </is>
      </c>
      <c r="J12" s="23" t="inlineStr">
        <is>
          <t>Assisteix</t>
        </is>
      </c>
      <c r="K12" s="23" t="inlineStr">
        <is>
          <t>Assisteix</t>
        </is>
      </c>
      <c r="L12" s="23" t="inlineStr">
        <is>
          <t>Assisteix</t>
        </is>
      </c>
      <c r="M12" s="24" t="n"/>
    </row>
    <row r="13" ht="36" customHeight="1">
      <c r="B13" s="25" t="n"/>
      <c r="C13" s="26" t="n"/>
      <c r="D13" s="23" t="inlineStr">
        <is>
          <t>Assisteix</t>
        </is>
      </c>
      <c r="E13" s="23" t="inlineStr">
        <is>
          <t>Assisteix</t>
        </is>
      </c>
      <c r="F13" s="23" t="inlineStr">
        <is>
          <t>Assisteix</t>
        </is>
      </c>
      <c r="G13" s="23" t="inlineStr">
        <is>
          <t>Assisteix</t>
        </is>
      </c>
      <c r="H13" s="23" t="inlineStr">
        <is>
          <t>Assisteix</t>
        </is>
      </c>
      <c r="I13" s="23" t="inlineStr">
        <is>
          <t>Assisteix</t>
        </is>
      </c>
      <c r="J13" s="23" t="inlineStr">
        <is>
          <t>Assisteix</t>
        </is>
      </c>
      <c r="K13" s="23" t="inlineStr">
        <is>
          <t>Assisteix</t>
        </is>
      </c>
      <c r="L13" s="23" t="inlineStr">
        <is>
          <t>Assisteix</t>
        </is>
      </c>
      <c r="M13" s="24" t="n"/>
    </row>
    <row r="14" ht="36" customHeight="1">
      <c r="B14" s="25" t="n"/>
      <c r="C14" s="26" t="n"/>
      <c r="D14" s="23" t="inlineStr">
        <is>
          <t>Assisteix</t>
        </is>
      </c>
      <c r="E14" s="23" t="inlineStr">
        <is>
          <t>Assisteix</t>
        </is>
      </c>
      <c r="F14" s="23" t="inlineStr">
        <is>
          <t>Assisteix</t>
        </is>
      </c>
      <c r="G14" s="23" t="inlineStr">
        <is>
          <t>Assisteix</t>
        </is>
      </c>
      <c r="H14" s="23" t="inlineStr">
        <is>
          <t>Assisteix</t>
        </is>
      </c>
      <c r="I14" s="23" t="inlineStr">
        <is>
          <t>Assisteix</t>
        </is>
      </c>
      <c r="J14" s="23" t="inlineStr">
        <is>
          <t>Assisteix</t>
        </is>
      </c>
      <c r="K14" s="23" t="inlineStr">
        <is>
          <t>Assisteix</t>
        </is>
      </c>
      <c r="L14" s="23" t="inlineStr">
        <is>
          <t>Assisteix</t>
        </is>
      </c>
      <c r="M14" s="24" t="n"/>
    </row>
    <row r="15" ht="36" customHeight="1">
      <c r="B15" s="25" t="n"/>
      <c r="C15" s="26" t="n"/>
      <c r="D15" s="23" t="inlineStr">
        <is>
          <t>Assisteix</t>
        </is>
      </c>
      <c r="E15" s="23" t="inlineStr">
        <is>
          <t>Assisteix</t>
        </is>
      </c>
      <c r="F15" s="23" t="inlineStr">
        <is>
          <t>Assisteix</t>
        </is>
      </c>
      <c r="G15" s="23" t="inlineStr">
        <is>
          <t>Assisteix</t>
        </is>
      </c>
      <c r="H15" s="23" t="inlineStr">
        <is>
          <t>Assisteix</t>
        </is>
      </c>
      <c r="I15" s="23" t="inlineStr">
        <is>
          <t>Assisteix</t>
        </is>
      </c>
      <c r="J15" s="23" t="inlineStr">
        <is>
          <t>Assisteix</t>
        </is>
      </c>
      <c r="K15" s="23" t="inlineStr">
        <is>
          <t>Assisteix</t>
        </is>
      </c>
      <c r="L15" s="23" t="inlineStr">
        <is>
          <t>Assisteix</t>
        </is>
      </c>
      <c r="M15" s="24" t="n"/>
    </row>
    <row r="16" ht="36" customHeight="1">
      <c r="B16" s="25" t="n"/>
      <c r="C16" s="26" t="n"/>
      <c r="D16" s="23" t="inlineStr">
        <is>
          <t>Assisteix</t>
        </is>
      </c>
      <c r="E16" s="23" t="inlineStr">
        <is>
          <t>Assisteix</t>
        </is>
      </c>
      <c r="F16" s="23" t="inlineStr">
        <is>
          <t>Assisteix</t>
        </is>
      </c>
      <c r="G16" s="23" t="inlineStr">
        <is>
          <t>Assisteix</t>
        </is>
      </c>
      <c r="H16" s="23" t="inlineStr">
        <is>
          <t>Assisteix</t>
        </is>
      </c>
      <c r="I16" s="23" t="inlineStr">
        <is>
          <t>Assisteix</t>
        </is>
      </c>
      <c r="J16" s="23" t="inlineStr">
        <is>
          <t>Assisteix</t>
        </is>
      </c>
      <c r="K16" s="23" t="inlineStr">
        <is>
          <t>Assisteix</t>
        </is>
      </c>
      <c r="L16" s="23" t="inlineStr">
        <is>
          <t>Assisteix</t>
        </is>
      </c>
      <c r="M16" s="24" t="n"/>
    </row>
    <row r="17" ht="36" customHeight="1">
      <c r="B17" s="25" t="n"/>
      <c r="C17" s="26" t="n"/>
      <c r="D17" s="23" t="inlineStr">
        <is>
          <t>Assisteix</t>
        </is>
      </c>
      <c r="E17" s="23" t="inlineStr">
        <is>
          <t>Assisteix</t>
        </is>
      </c>
      <c r="F17" s="23" t="inlineStr">
        <is>
          <t>Assisteix</t>
        </is>
      </c>
      <c r="G17" s="23" t="inlineStr">
        <is>
          <t>Assisteix</t>
        </is>
      </c>
      <c r="H17" s="23" t="inlineStr">
        <is>
          <t>Assisteix</t>
        </is>
      </c>
      <c r="I17" s="23" t="inlineStr">
        <is>
          <t>Assisteix</t>
        </is>
      </c>
      <c r="J17" s="23" t="inlineStr">
        <is>
          <t>Assisteix</t>
        </is>
      </c>
      <c r="K17" s="23" t="inlineStr">
        <is>
          <t>Assisteix</t>
        </is>
      </c>
      <c r="L17" s="23" t="inlineStr">
        <is>
          <t>Assisteix</t>
        </is>
      </c>
      <c r="M17" s="24" t="n"/>
    </row>
    <row r="18" ht="36" customHeight="1">
      <c r="B18" s="25" t="n"/>
      <c r="C18" s="26" t="n"/>
      <c r="D18" s="23" t="inlineStr">
        <is>
          <t>Assisteix</t>
        </is>
      </c>
      <c r="E18" s="23" t="inlineStr">
        <is>
          <t>Assisteix</t>
        </is>
      </c>
      <c r="F18" s="23" t="inlineStr">
        <is>
          <t>Assisteix</t>
        </is>
      </c>
      <c r="G18" s="23" t="inlineStr">
        <is>
          <t>Assisteix</t>
        </is>
      </c>
      <c r="H18" s="23" t="inlineStr">
        <is>
          <t>Assisteix</t>
        </is>
      </c>
      <c r="I18" s="23" t="inlineStr">
        <is>
          <t>Assisteix</t>
        </is>
      </c>
      <c r="J18" s="23" t="inlineStr">
        <is>
          <t>Assisteix</t>
        </is>
      </c>
      <c r="K18" s="23" t="inlineStr">
        <is>
          <t>Assisteix</t>
        </is>
      </c>
      <c r="L18" s="23" t="inlineStr">
        <is>
          <t>Assisteix</t>
        </is>
      </c>
      <c r="M18" s="24" t="n"/>
    </row>
    <row r="19" ht="36" customHeight="1">
      <c r="B19" s="25" t="n"/>
      <c r="C19" s="26" t="n"/>
      <c r="D19" s="23" t="inlineStr">
        <is>
          <t>Assisteix</t>
        </is>
      </c>
      <c r="E19" s="23" t="inlineStr">
        <is>
          <t>Assisteix</t>
        </is>
      </c>
      <c r="F19" s="23" t="inlineStr">
        <is>
          <t>Assisteix</t>
        </is>
      </c>
      <c r="G19" s="23" t="inlineStr">
        <is>
          <t>Assisteix</t>
        </is>
      </c>
      <c r="H19" s="23" t="inlineStr">
        <is>
          <t>Assisteix</t>
        </is>
      </c>
      <c r="I19" s="23" t="inlineStr">
        <is>
          <t>Assisteix</t>
        </is>
      </c>
      <c r="J19" s="23" t="inlineStr">
        <is>
          <t>Assisteix</t>
        </is>
      </c>
      <c r="K19" s="23" t="inlineStr">
        <is>
          <t>Assisteix</t>
        </is>
      </c>
      <c r="L19" s="23" t="inlineStr">
        <is>
          <t>Assisteix</t>
        </is>
      </c>
      <c r="M19" s="24" t="n"/>
    </row>
    <row r="20" ht="36" customHeight="1">
      <c r="B20" s="25" t="n"/>
      <c r="C20" s="26" t="n"/>
      <c r="D20" s="23" t="inlineStr">
        <is>
          <t>Assisteix</t>
        </is>
      </c>
      <c r="E20" s="23" t="inlineStr">
        <is>
          <t>Assisteix</t>
        </is>
      </c>
      <c r="F20" s="23" t="inlineStr">
        <is>
          <t>Assisteix</t>
        </is>
      </c>
      <c r="G20" s="23" t="inlineStr">
        <is>
          <t>Assisteix</t>
        </is>
      </c>
      <c r="H20" s="23" t="inlineStr">
        <is>
          <t>Assisteix</t>
        </is>
      </c>
      <c r="I20" s="23" t="inlineStr">
        <is>
          <t>Assisteix</t>
        </is>
      </c>
      <c r="J20" s="23" t="inlineStr">
        <is>
          <t>Assisteix</t>
        </is>
      </c>
      <c r="K20" s="23" t="inlineStr">
        <is>
          <t>Assisteix</t>
        </is>
      </c>
      <c r="L20" s="23" t="inlineStr">
        <is>
          <t>Assisteix</t>
        </is>
      </c>
      <c r="M20" s="24" t="n"/>
    </row>
    <row r="21" ht="36" customHeight="1">
      <c r="B21" s="25" t="n"/>
      <c r="C21" s="26" t="n"/>
      <c r="D21" s="23" t="inlineStr">
        <is>
          <t>Assisteix</t>
        </is>
      </c>
      <c r="E21" s="23" t="inlineStr">
        <is>
          <t>Assisteix</t>
        </is>
      </c>
      <c r="F21" s="23" t="inlineStr">
        <is>
          <t>Assisteix</t>
        </is>
      </c>
      <c r="G21" s="23" t="inlineStr">
        <is>
          <t>Assisteix</t>
        </is>
      </c>
      <c r="H21" s="23" t="inlineStr">
        <is>
          <t>Assisteix</t>
        </is>
      </c>
      <c r="I21" s="23" t="inlineStr">
        <is>
          <t>Assisteix</t>
        </is>
      </c>
      <c r="J21" s="23" t="inlineStr">
        <is>
          <t>Assisteix</t>
        </is>
      </c>
      <c r="K21" s="23" t="inlineStr">
        <is>
          <t>Assisteix</t>
        </is>
      </c>
      <c r="L21" s="23" t="inlineStr">
        <is>
          <t>Assisteix</t>
        </is>
      </c>
      <c r="M21" s="24" t="n"/>
    </row>
    <row r="22" ht="36" customHeight="1">
      <c r="B22" s="25" t="n"/>
      <c r="C22" s="26" t="n"/>
      <c r="D22" s="23" t="inlineStr">
        <is>
          <t>Assisteix</t>
        </is>
      </c>
      <c r="E22" s="23" t="inlineStr">
        <is>
          <t>Assisteix</t>
        </is>
      </c>
      <c r="F22" s="23" t="inlineStr">
        <is>
          <t>Assisteix</t>
        </is>
      </c>
      <c r="G22" s="23" t="inlineStr">
        <is>
          <t>Assisteix</t>
        </is>
      </c>
      <c r="H22" s="23" t="inlineStr">
        <is>
          <t>Assisteix</t>
        </is>
      </c>
      <c r="I22" s="23" t="inlineStr">
        <is>
          <t>Assisteix</t>
        </is>
      </c>
      <c r="J22" s="23" t="inlineStr">
        <is>
          <t>Assisteix</t>
        </is>
      </c>
      <c r="K22" s="23" t="inlineStr">
        <is>
          <t>Assisteix</t>
        </is>
      </c>
      <c r="L22" s="23" t="inlineStr">
        <is>
          <t>Assisteix</t>
        </is>
      </c>
      <c r="M22" s="24" t="n"/>
    </row>
    <row r="23" ht="36" customHeight="1">
      <c r="B23" s="25" t="n"/>
      <c r="C23" s="26" t="n"/>
      <c r="D23" s="23" t="inlineStr">
        <is>
          <t>Assisteix</t>
        </is>
      </c>
      <c r="E23" s="23" t="inlineStr">
        <is>
          <t>Assisteix</t>
        </is>
      </c>
      <c r="F23" s="23" t="inlineStr">
        <is>
          <t>Assisteix</t>
        </is>
      </c>
      <c r="G23" s="23" t="inlineStr">
        <is>
          <t>Assisteix</t>
        </is>
      </c>
      <c r="H23" s="23" t="inlineStr">
        <is>
          <t>Assisteix</t>
        </is>
      </c>
      <c r="I23" s="23" t="inlineStr">
        <is>
          <t>Assisteix</t>
        </is>
      </c>
      <c r="J23" s="23" t="inlineStr">
        <is>
          <t>Assisteix</t>
        </is>
      </c>
      <c r="K23" s="23" t="inlineStr">
        <is>
          <t>Assisteix</t>
        </is>
      </c>
      <c r="L23" s="23" t="inlineStr">
        <is>
          <t>Assisteix</t>
        </is>
      </c>
      <c r="M23" s="24" t="n"/>
    </row>
    <row r="24" ht="36" customHeight="1">
      <c r="B24" s="25" t="n"/>
      <c r="C24" s="26" t="n"/>
      <c r="D24" s="23" t="inlineStr">
        <is>
          <t>Assisteix</t>
        </is>
      </c>
      <c r="E24" s="23" t="inlineStr">
        <is>
          <t>Assisteix</t>
        </is>
      </c>
      <c r="F24" s="23" t="inlineStr">
        <is>
          <t>Assisteix</t>
        </is>
      </c>
      <c r="G24" s="23" t="inlineStr">
        <is>
          <t>Assisteix</t>
        </is>
      </c>
      <c r="H24" s="23" t="inlineStr">
        <is>
          <t>Assisteix</t>
        </is>
      </c>
      <c r="I24" s="23" t="inlineStr">
        <is>
          <t>Assisteix</t>
        </is>
      </c>
      <c r="J24" s="23" t="inlineStr">
        <is>
          <t>Assisteix</t>
        </is>
      </c>
      <c r="K24" s="23" t="inlineStr">
        <is>
          <t>Assisteix</t>
        </is>
      </c>
      <c r="L24" s="23" t="inlineStr">
        <is>
          <t>Assisteix</t>
        </is>
      </c>
      <c r="M24" s="24" t="n"/>
    </row>
    <row r="25" ht="36" customHeight="1">
      <c r="B25" s="25" t="inlineStr"/>
      <c r="C25" s="26" t="inlineStr"/>
      <c r="D25" s="23" t="inlineStr">
        <is>
          <t>Assisteix</t>
        </is>
      </c>
      <c r="E25" s="23" t="inlineStr">
        <is>
          <t>Assisteix</t>
        </is>
      </c>
      <c r="F25" s="23" t="inlineStr">
        <is>
          <t>Assisteix</t>
        </is>
      </c>
      <c r="G25" s="23" t="inlineStr">
        <is>
          <t>Assisteix</t>
        </is>
      </c>
      <c r="H25" s="23" t="inlineStr">
        <is>
          <t>Assisteix</t>
        </is>
      </c>
      <c r="I25" s="23" t="inlineStr">
        <is>
          <t>Assisteix</t>
        </is>
      </c>
      <c r="J25" s="23" t="inlineStr">
        <is>
          <t>Assisteix</t>
        </is>
      </c>
      <c r="K25" s="23" t="inlineStr">
        <is>
          <t>Assisteix</t>
        </is>
      </c>
      <c r="L25" s="23" t="inlineStr">
        <is>
          <t>Assisteix</t>
        </is>
      </c>
      <c r="M25" s="24" t="n"/>
    </row>
    <row r="26" ht="36" customHeight="1">
      <c r="B26" s="25" t="inlineStr"/>
      <c r="C26" s="26" t="inlineStr"/>
      <c r="D26" s="23" t="inlineStr">
        <is>
          <t>Assisteix</t>
        </is>
      </c>
      <c r="E26" s="23" t="inlineStr">
        <is>
          <t>Assisteix</t>
        </is>
      </c>
      <c r="F26" s="23" t="inlineStr">
        <is>
          <t>Assisteix</t>
        </is>
      </c>
      <c r="G26" s="23" t="inlineStr">
        <is>
          <t>Assisteix</t>
        </is>
      </c>
      <c r="H26" s="23" t="inlineStr">
        <is>
          <t>Assisteix</t>
        </is>
      </c>
      <c r="I26" s="23" t="inlineStr">
        <is>
          <t>Assisteix</t>
        </is>
      </c>
      <c r="J26" s="23" t="inlineStr">
        <is>
          <t>Assisteix</t>
        </is>
      </c>
      <c r="K26" s="23" t="inlineStr">
        <is>
          <t>Assisteix</t>
        </is>
      </c>
      <c r="L26" s="23" t="inlineStr">
        <is>
          <t>Assisteix</t>
        </is>
      </c>
      <c r="M26" s="24" t="n"/>
    </row>
    <row r="27" ht="36" customHeight="1">
      <c r="B27" s="25" t="inlineStr"/>
      <c r="C27" s="26" t="inlineStr"/>
      <c r="D27" s="23" t="inlineStr">
        <is>
          <t>Assisteix</t>
        </is>
      </c>
      <c r="E27" s="23" t="inlineStr">
        <is>
          <t>Assisteix</t>
        </is>
      </c>
      <c r="F27" s="23" t="inlineStr">
        <is>
          <t>Assisteix</t>
        </is>
      </c>
      <c r="G27" s="23" t="inlineStr">
        <is>
          <t>Assisteix</t>
        </is>
      </c>
      <c r="H27" s="23" t="inlineStr">
        <is>
          <t>Assisteix</t>
        </is>
      </c>
      <c r="I27" s="23" t="inlineStr">
        <is>
          <t>Assisteix</t>
        </is>
      </c>
      <c r="J27" s="23" t="inlineStr">
        <is>
          <t>Assisteix</t>
        </is>
      </c>
      <c r="K27" s="23" t="inlineStr">
        <is>
          <t>Assisteix</t>
        </is>
      </c>
      <c r="L27" s="23" t="inlineStr">
        <is>
          <t>Assisteix</t>
        </is>
      </c>
      <c r="M27" s="24" t="n"/>
    </row>
    <row r="28" ht="36" customHeight="1">
      <c r="B28" s="25" t="inlineStr"/>
      <c r="C28" s="26" t="inlineStr"/>
      <c r="D28" s="23" t="inlineStr">
        <is>
          <t>Assisteix</t>
        </is>
      </c>
      <c r="E28" s="23" t="inlineStr">
        <is>
          <t>Assisteix</t>
        </is>
      </c>
      <c r="F28" s="23" t="inlineStr">
        <is>
          <t>Assisteix</t>
        </is>
      </c>
      <c r="G28" s="23" t="inlineStr">
        <is>
          <t>Assisteix</t>
        </is>
      </c>
      <c r="H28" s="23" t="inlineStr">
        <is>
          <t>Assisteix</t>
        </is>
      </c>
      <c r="I28" s="23" t="inlineStr">
        <is>
          <t>Assisteix</t>
        </is>
      </c>
      <c r="J28" s="23" t="inlineStr">
        <is>
          <t>Assisteix</t>
        </is>
      </c>
      <c r="K28" s="23" t="inlineStr">
        <is>
          <t>Assisteix</t>
        </is>
      </c>
      <c r="L28" s="23" t="inlineStr">
        <is>
          <t>Assisteix</t>
        </is>
      </c>
      <c r="M28" s="24" t="n"/>
    </row>
    <row r="29" ht="36" customHeight="1">
      <c r="B29" s="25" t="inlineStr"/>
      <c r="C29" s="26" t="inlineStr"/>
      <c r="D29" s="23" t="inlineStr">
        <is>
          <t>Assisteix</t>
        </is>
      </c>
      <c r="E29" s="23" t="inlineStr">
        <is>
          <t>Assisteix</t>
        </is>
      </c>
      <c r="F29" s="23" t="inlineStr">
        <is>
          <t>Assisteix</t>
        </is>
      </c>
      <c r="G29" s="23" t="inlineStr">
        <is>
          <t>Assisteix</t>
        </is>
      </c>
      <c r="H29" s="23" t="inlineStr">
        <is>
          <t>Assisteix</t>
        </is>
      </c>
      <c r="I29" s="23" t="inlineStr">
        <is>
          <t>Assisteix</t>
        </is>
      </c>
      <c r="J29" s="23" t="inlineStr">
        <is>
          <t>Assisteix</t>
        </is>
      </c>
      <c r="K29" s="23" t="inlineStr">
        <is>
          <t>Assisteix</t>
        </is>
      </c>
      <c r="L29" s="23" t="inlineStr">
        <is>
          <t>Assisteix</t>
        </is>
      </c>
      <c r="M29" s="24" t="n"/>
    </row>
    <row r="30" ht="36" customHeight="1">
      <c r="B30" s="25" t="inlineStr"/>
      <c r="C30" s="26" t="inlineStr"/>
      <c r="D30" s="23" t="inlineStr">
        <is>
          <t>Assisteix</t>
        </is>
      </c>
      <c r="E30" s="23" t="inlineStr">
        <is>
          <t>Assisteix</t>
        </is>
      </c>
      <c r="F30" s="23" t="inlineStr">
        <is>
          <t>Assisteix</t>
        </is>
      </c>
      <c r="G30" s="23" t="inlineStr">
        <is>
          <t>Assisteix</t>
        </is>
      </c>
      <c r="H30" s="23" t="inlineStr">
        <is>
          <t>Assisteix</t>
        </is>
      </c>
      <c r="I30" s="23" t="inlineStr">
        <is>
          <t>Assisteix</t>
        </is>
      </c>
      <c r="J30" s="23" t="inlineStr">
        <is>
          <t>Assisteix</t>
        </is>
      </c>
      <c r="K30" s="23" t="inlineStr">
        <is>
          <t>Assisteix</t>
        </is>
      </c>
      <c r="L30" s="23" t="inlineStr">
        <is>
          <t>Assisteix</t>
        </is>
      </c>
      <c r="M30" s="24" t="n"/>
    </row>
    <row r="31" ht="36" customHeight="1">
      <c r="B31" s="25" t="inlineStr"/>
      <c r="C31" s="26" t="inlineStr"/>
      <c r="D31" s="23" t="inlineStr">
        <is>
          <t>Assisteix</t>
        </is>
      </c>
      <c r="E31" s="23" t="inlineStr">
        <is>
          <t>Assisteix</t>
        </is>
      </c>
      <c r="F31" s="23" t="inlineStr">
        <is>
          <t>Assisteix</t>
        </is>
      </c>
      <c r="G31" s="23" t="inlineStr">
        <is>
          <t>Assisteix</t>
        </is>
      </c>
      <c r="H31" s="23" t="inlineStr">
        <is>
          <t>Assisteix</t>
        </is>
      </c>
      <c r="I31" s="23" t="inlineStr">
        <is>
          <t>Assisteix</t>
        </is>
      </c>
      <c r="J31" s="23" t="inlineStr">
        <is>
          <t>Assisteix</t>
        </is>
      </c>
      <c r="K31" s="23" t="inlineStr">
        <is>
          <t>Assisteix</t>
        </is>
      </c>
      <c r="L31" s="23" t="inlineStr">
        <is>
          <t>Assisteix</t>
        </is>
      </c>
      <c r="M31" s="24" t="n"/>
    </row>
    <row r="32" ht="36" customHeight="1">
      <c r="B32" s="25" t="inlineStr"/>
      <c r="C32" s="26" t="inlineStr"/>
      <c r="D32" s="23" t="inlineStr">
        <is>
          <t>Assisteix</t>
        </is>
      </c>
      <c r="E32" s="23" t="inlineStr">
        <is>
          <t>Assisteix</t>
        </is>
      </c>
      <c r="F32" s="23" t="inlineStr">
        <is>
          <t>Assisteix</t>
        </is>
      </c>
      <c r="G32" s="23" t="inlineStr">
        <is>
          <t>Assisteix</t>
        </is>
      </c>
      <c r="H32" s="23" t="inlineStr">
        <is>
          <t>Assisteix</t>
        </is>
      </c>
      <c r="I32" s="23" t="inlineStr">
        <is>
          <t>Assisteix</t>
        </is>
      </c>
      <c r="J32" s="23" t="inlineStr">
        <is>
          <t>Assisteix</t>
        </is>
      </c>
      <c r="K32" s="23" t="inlineStr">
        <is>
          <t>Assisteix</t>
        </is>
      </c>
      <c r="L32" s="23" t="inlineStr">
        <is>
          <t>Assisteix</t>
        </is>
      </c>
      <c r="M32" s="24" t="n"/>
    </row>
    <row r="33" ht="36" customHeight="1">
      <c r="B33" s="25" t="inlineStr"/>
      <c r="C33" s="26" t="inlineStr"/>
      <c r="D33" s="23" t="inlineStr">
        <is>
          <t>Assisteix</t>
        </is>
      </c>
      <c r="E33" s="23" t="inlineStr">
        <is>
          <t>Assisteix</t>
        </is>
      </c>
      <c r="F33" s="23" t="inlineStr">
        <is>
          <t>Assisteix</t>
        </is>
      </c>
      <c r="G33" s="23" t="inlineStr">
        <is>
          <t>Assisteix</t>
        </is>
      </c>
      <c r="H33" s="23" t="inlineStr">
        <is>
          <t>Assisteix</t>
        </is>
      </c>
      <c r="I33" s="23" t="inlineStr">
        <is>
          <t>Assisteix</t>
        </is>
      </c>
      <c r="J33" s="23" t="inlineStr">
        <is>
          <t>Assisteix</t>
        </is>
      </c>
      <c r="K33" s="23" t="inlineStr">
        <is>
          <t>Assisteix</t>
        </is>
      </c>
      <c r="L33" s="23" t="inlineStr">
        <is>
          <t>Assisteix</t>
        </is>
      </c>
      <c r="M33" s="24" t="n"/>
    </row>
    <row r="34" ht="36" customHeight="1">
      <c r="B34" s="25" t="inlineStr"/>
      <c r="C34" s="26" t="inlineStr"/>
      <c r="D34" s="23" t="inlineStr">
        <is>
          <t>Assisteix</t>
        </is>
      </c>
      <c r="E34" s="23" t="inlineStr">
        <is>
          <t>Assisteix</t>
        </is>
      </c>
      <c r="F34" s="23" t="inlineStr">
        <is>
          <t>Assisteix</t>
        </is>
      </c>
      <c r="G34" s="23" t="inlineStr">
        <is>
          <t>Assisteix</t>
        </is>
      </c>
      <c r="H34" s="23" t="inlineStr">
        <is>
          <t>Assisteix</t>
        </is>
      </c>
      <c r="I34" s="23" t="inlineStr">
        <is>
          <t>Assisteix</t>
        </is>
      </c>
      <c r="J34" s="23" t="inlineStr">
        <is>
          <t>Assisteix</t>
        </is>
      </c>
      <c r="K34" s="23" t="inlineStr">
        <is>
          <t>Assisteix</t>
        </is>
      </c>
      <c r="L34" s="23" t="inlineStr">
        <is>
          <t>Assisteix</t>
        </is>
      </c>
      <c r="M34" s="24" t="n"/>
    </row>
    <row r="35" ht="36" customHeight="1">
      <c r="B35" s="25" t="inlineStr"/>
      <c r="C35" s="26" t="inlineStr"/>
      <c r="D35" s="23" t="inlineStr">
        <is>
          <t>Assisteix</t>
        </is>
      </c>
      <c r="E35" s="23" t="inlineStr">
        <is>
          <t>Assisteix</t>
        </is>
      </c>
      <c r="F35" s="23" t="inlineStr">
        <is>
          <t>Assisteix</t>
        </is>
      </c>
      <c r="G35" s="23" t="inlineStr">
        <is>
          <t>Assisteix</t>
        </is>
      </c>
      <c r="H35" s="23" t="inlineStr">
        <is>
          <t>Assisteix</t>
        </is>
      </c>
      <c r="I35" s="23" t="inlineStr">
        <is>
          <t>Assisteix</t>
        </is>
      </c>
      <c r="J35" s="23" t="inlineStr">
        <is>
          <t>Assisteix</t>
        </is>
      </c>
      <c r="K35" s="23" t="inlineStr">
        <is>
          <t>Assisteix</t>
        </is>
      </c>
      <c r="L35" s="23" t="inlineStr">
        <is>
          <t>Assisteix</t>
        </is>
      </c>
      <c r="M35" s="24" t="n"/>
    </row>
    <row r="36" ht="36" customHeight="1">
      <c r="B36" s="27" t="inlineStr">
        <is>
          <t>ALTRES ASSISTENTS (Orientació)</t>
        </is>
      </c>
      <c r="C36" s="28" t="n"/>
      <c r="D36" s="23" t="inlineStr">
        <is>
          <t>Assisteix</t>
        </is>
      </c>
      <c r="E36" s="23" t="inlineStr">
        <is>
          <t>Assisteix</t>
        </is>
      </c>
      <c r="F36" s="23" t="inlineStr">
        <is>
          <t>Assisteix</t>
        </is>
      </c>
      <c r="G36" s="23" t="inlineStr">
        <is>
          <t>Assisteix</t>
        </is>
      </c>
      <c r="H36" s="23" t="inlineStr">
        <is>
          <t>Assisteix</t>
        </is>
      </c>
      <c r="I36" s="23" t="inlineStr">
        <is>
          <t>Assisteix</t>
        </is>
      </c>
      <c r="J36" s="23" t="inlineStr">
        <is>
          <t>Assisteix</t>
        </is>
      </c>
      <c r="K36" s="23" t="inlineStr">
        <is>
          <t>Assisteix</t>
        </is>
      </c>
      <c r="L36" s="23" t="inlineStr">
        <is>
          <t>Assisteix</t>
        </is>
      </c>
      <c r="M36" s="24" t="n"/>
    </row>
    <row r="37" ht="36" customHeight="1">
      <c r="B37" s="27" t="inlineStr">
        <is>
          <t>ALTRES ASSISTENTS (Direcció d'estudis)</t>
        </is>
      </c>
      <c r="C37" s="28" t="n"/>
      <c r="D37" s="23" t="inlineStr">
        <is>
          <t>Assisteix</t>
        </is>
      </c>
      <c r="E37" s="23" t="inlineStr">
        <is>
          <t>Assisteix</t>
        </is>
      </c>
      <c r="F37" s="23" t="inlineStr">
        <is>
          <t>Assisteix</t>
        </is>
      </c>
      <c r="G37" s="23" t="inlineStr">
        <is>
          <t>Assisteix</t>
        </is>
      </c>
      <c r="H37" s="23" t="inlineStr">
        <is>
          <t>Assisteix</t>
        </is>
      </c>
      <c r="I37" s="23" t="inlineStr">
        <is>
          <t>Assisteix</t>
        </is>
      </c>
      <c r="J37" s="23" t="inlineStr">
        <is>
          <t>Assisteix</t>
        </is>
      </c>
      <c r="K37" s="23" t="inlineStr">
        <is>
          <t>Assisteix</t>
        </is>
      </c>
      <c r="L37" s="23" t="inlineStr">
        <is>
          <t>Assisteix</t>
        </is>
      </c>
      <c r="M37" s="24" t="n"/>
    </row>
    <row r="38" ht="36" customHeight="1">
      <c r="B38" s="27" t="inlineStr">
        <is>
          <t>ALTRES ASSISTENTS (Tutor/a empresa)</t>
        </is>
      </c>
      <c r="C38" s="28" t="n"/>
      <c r="D38" s="23" t="inlineStr">
        <is>
          <t>Assisteix</t>
        </is>
      </c>
      <c r="E38" s="23" t="inlineStr">
        <is>
          <t>Assisteix</t>
        </is>
      </c>
      <c r="F38" s="23" t="inlineStr">
        <is>
          <t>Assisteix</t>
        </is>
      </c>
      <c r="G38" s="23" t="inlineStr">
        <is>
          <t>Assisteix</t>
        </is>
      </c>
      <c r="H38" s="23" t="inlineStr">
        <is>
          <t>Assisteix</t>
        </is>
      </c>
      <c r="I38" s="23" t="inlineStr">
        <is>
          <t>Assisteix</t>
        </is>
      </c>
      <c r="J38" s="23" t="inlineStr">
        <is>
          <t>Assisteix</t>
        </is>
      </c>
      <c r="K38" s="23" t="inlineStr">
        <is>
          <t>Assisteix</t>
        </is>
      </c>
      <c r="L38" s="23" t="inlineStr">
        <is>
          <t>Assisteix</t>
        </is>
      </c>
      <c r="M38" s="24" t="n"/>
    </row>
    <row r="39" ht="36" customHeight="1">
      <c r="B39" s="27" t="inlineStr">
        <is>
          <t>ALTRES ASSISTENTS (Representants alumnat)</t>
        </is>
      </c>
      <c r="C39" s="28" t="n"/>
      <c r="D39" s="23" t="inlineStr">
        <is>
          <t>Assisteix</t>
        </is>
      </c>
      <c r="E39" s="23" t="inlineStr">
        <is>
          <t>Assisteix</t>
        </is>
      </c>
      <c r="F39" s="23" t="inlineStr">
        <is>
          <t>Assisteix</t>
        </is>
      </c>
      <c r="G39" s="23" t="inlineStr">
        <is>
          <t>Assisteix</t>
        </is>
      </c>
      <c r="H39" s="23" t="inlineStr">
        <is>
          <t>Assisteix</t>
        </is>
      </c>
      <c r="I39" s="23" t="inlineStr">
        <is>
          <t>Assisteix</t>
        </is>
      </c>
      <c r="J39" s="23" t="inlineStr">
        <is>
          <t>Assisteix</t>
        </is>
      </c>
      <c r="K39" s="23" t="inlineStr">
        <is>
          <t>Assisteix</t>
        </is>
      </c>
      <c r="L39" s="23" t="inlineStr">
        <is>
          <t>Assisteix</t>
        </is>
      </c>
      <c r="M39" s="24" t="n"/>
    </row>
    <row r="40" ht="36" customHeight="1">
      <c r="B40" s="27" t="n"/>
      <c r="C40" s="28" t="n"/>
      <c r="D40" s="23" t="inlineStr">
        <is>
          <t>Assisteix</t>
        </is>
      </c>
      <c r="E40" s="23" t="inlineStr">
        <is>
          <t>Assisteix</t>
        </is>
      </c>
      <c r="F40" s="23" t="inlineStr">
        <is>
          <t>Assisteix</t>
        </is>
      </c>
      <c r="G40" s="23" t="inlineStr">
        <is>
          <t>Assisteix</t>
        </is>
      </c>
      <c r="H40" s="23" t="inlineStr">
        <is>
          <t>Assisteix</t>
        </is>
      </c>
      <c r="I40" s="23" t="inlineStr">
        <is>
          <t>Assisteix</t>
        </is>
      </c>
      <c r="J40" s="23" t="inlineStr">
        <is>
          <t>Assisteix</t>
        </is>
      </c>
      <c r="K40" s="23" t="inlineStr">
        <is>
          <t>Assisteix</t>
        </is>
      </c>
      <c r="L40" s="23" t="inlineStr">
        <is>
          <t>Assisteix</t>
        </is>
      </c>
      <c r="M40" s="24" t="n"/>
    </row>
    <row r="41" ht="36" customHeight="1">
      <c r="B41" s="27" t="n"/>
      <c r="C41" s="28" t="n"/>
      <c r="D41" s="23" t="inlineStr">
        <is>
          <t>Assisteix</t>
        </is>
      </c>
      <c r="E41" s="23" t="inlineStr">
        <is>
          <t>Assisteix</t>
        </is>
      </c>
      <c r="F41" s="23" t="inlineStr">
        <is>
          <t>Assisteix</t>
        </is>
      </c>
      <c r="G41" s="23" t="inlineStr">
        <is>
          <t>Assisteix</t>
        </is>
      </c>
      <c r="H41" s="23" t="inlineStr">
        <is>
          <t>Assisteix</t>
        </is>
      </c>
      <c r="I41" s="23" t="inlineStr">
        <is>
          <t>Assisteix</t>
        </is>
      </c>
      <c r="J41" s="23" t="inlineStr">
        <is>
          <t>Assisteix</t>
        </is>
      </c>
      <c r="K41" s="23" t="inlineStr">
        <is>
          <t>Assisteix</t>
        </is>
      </c>
      <c r="L41" s="23" t="inlineStr">
        <is>
          <t>Assisteix</t>
        </is>
      </c>
      <c r="M41" s="24" t="n"/>
    </row>
    <row r="42" ht="36" customHeight="1">
      <c r="B42" s="27" t="n"/>
      <c r="C42" s="28" t="n"/>
      <c r="D42" s="23" t="inlineStr">
        <is>
          <t>Assisteix</t>
        </is>
      </c>
      <c r="E42" s="23" t="inlineStr">
        <is>
          <t>Assisteix</t>
        </is>
      </c>
      <c r="F42" s="23" t="inlineStr">
        <is>
          <t>Assisteix</t>
        </is>
      </c>
      <c r="G42" s="23" t="inlineStr">
        <is>
          <t>Assisteix</t>
        </is>
      </c>
      <c r="H42" s="23" t="inlineStr">
        <is>
          <t>Assisteix</t>
        </is>
      </c>
      <c r="I42" s="23" t="inlineStr">
        <is>
          <t>Assisteix</t>
        </is>
      </c>
      <c r="J42" s="23" t="inlineStr">
        <is>
          <t>Assisteix</t>
        </is>
      </c>
      <c r="K42" s="23" t="inlineStr">
        <is>
          <t>Assisteix</t>
        </is>
      </c>
      <c r="L42" s="23" t="inlineStr">
        <is>
          <t>Assisteix</t>
        </is>
      </c>
      <c r="M42" s="24" t="n"/>
    </row>
    <row r="43" ht="36" customHeight="1">
      <c r="B43" s="27" t="n"/>
      <c r="C43" s="28" t="n"/>
      <c r="D43" s="23" t="inlineStr">
        <is>
          <t>Assisteix</t>
        </is>
      </c>
      <c r="E43" s="23" t="inlineStr">
        <is>
          <t>Assisteix</t>
        </is>
      </c>
      <c r="F43" s="23" t="inlineStr">
        <is>
          <t>Assisteix</t>
        </is>
      </c>
      <c r="G43" s="23" t="inlineStr">
        <is>
          <t>Assisteix</t>
        </is>
      </c>
      <c r="H43" s="23" t="inlineStr">
        <is>
          <t>Assisteix</t>
        </is>
      </c>
      <c r="I43" s="23" t="inlineStr">
        <is>
          <t>Assisteix</t>
        </is>
      </c>
      <c r="J43" s="23" t="inlineStr">
        <is>
          <t>Assisteix</t>
        </is>
      </c>
      <c r="K43" s="23" t="inlineStr">
        <is>
          <t>Assisteix</t>
        </is>
      </c>
      <c r="L43" s="23" t="inlineStr">
        <is>
          <t>Assisteix</t>
        </is>
      </c>
      <c r="M43" s="24" t="n"/>
    </row>
  </sheetData>
  <mergeCells count="11">
    <mergeCell ref="C2:C6"/>
    <mergeCell ref="D2:D6"/>
    <mergeCell ref="E4:F4"/>
    <mergeCell ref="G5:I5"/>
    <mergeCell ref="G7:M7"/>
    <mergeCell ref="E5:F5"/>
    <mergeCell ref="B2:B6"/>
    <mergeCell ref="G4:I4"/>
    <mergeCell ref="G3:I3"/>
    <mergeCell ref="B9:M9"/>
    <mergeCell ref="E3:F3"/>
  </mergeCells>
  <conditionalFormatting sqref="D12:L43">
    <cfRule type="containsText" priority="1" operator="containsText" dxfId="3" text="No">
      <formula>NOT(ISERROR(SEARCH("No",D12)))</formula>
    </cfRule>
  </conditionalFormatting>
  <dataValidations count="3">
    <dataValidation sqref="G3:I3 G5:I5" showDropDown="0" showInputMessage="1" showErrorMessage="1" allowBlank="1"/>
    <dataValidation sqref="G7:M7" showDropDown="0" showInputMessage="1" showErrorMessage="1" allowBlank="1" type="date">
      <formula1>45170</formula1>
      <formula2>45473</formula2>
    </dataValidation>
    <dataValidation sqref="D12:L43" showDropDown="0" showInputMessage="1" showErrorMessage="1" allowBlank="1" type="list">
      <formula1>"Assisteix, No assisteix"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Z47"/>
  <sheetViews>
    <sheetView workbookViewId="0">
      <selection activeCell="E41" sqref="E41:M47"/>
    </sheetView>
  </sheetViews>
  <sheetFormatPr baseColWidth="10" defaultColWidth="0" defaultRowHeight="15.75" zeroHeight="1"/>
  <cols>
    <col width="3.265625" customWidth="1" style="248" min="1" max="1"/>
    <col width="12.59765625" customWidth="1" style="248" min="2" max="2"/>
    <col width="10.265625" customWidth="1" style="248" min="3" max="3"/>
    <col width="12.59765625" customWidth="1" style="248" min="4" max="7"/>
    <col width="15.3984375" customWidth="1" style="248" min="8" max="8"/>
    <col width="16.265625" customWidth="1" style="248" min="9" max="9"/>
    <col width="12.59765625" customWidth="1" style="248" min="10" max="13"/>
    <col hidden="1" style="248" min="14" max="21"/>
    <col hidden="1" width="4.3984375" customWidth="1" style="248" min="22" max="180"/>
    <col hidden="1" style="297" min="181" max="181"/>
    <col hidden="1" width="9.1328125" customWidth="1" style="297" min="182" max="182"/>
    <col hidden="1" width="9.1328125" customWidth="1" style="248" min="183" max="16383"/>
    <col hidden="1" width="3.86328125" customWidth="1" style="248" min="16384" max="16384"/>
  </cols>
  <sheetData>
    <row r="1" ht="15.75" customHeight="1">
      <c r="B1" s="29" t="n"/>
      <c r="C1" s="29" t="n"/>
      <c r="D1" s="29" t="n"/>
      <c r="E1" s="29" t="n"/>
      <c r="F1" s="29" t="n"/>
      <c r="G1" s="29" t="n"/>
      <c r="H1" s="29" t="n"/>
      <c r="I1" s="10" t="inlineStr">
        <is>
          <t>PC03.F01 Acta d'avaluació Ed.02 - Setem.25</t>
        </is>
      </c>
      <c r="J1" s="30" t="n"/>
      <c r="K1" s="30" t="n"/>
      <c r="L1" s="31" t="n"/>
      <c r="M1" s="30" t="n"/>
      <c r="FY1" s="248" t="n"/>
      <c r="FZ1" s="248" t="n"/>
    </row>
    <row r="2" ht="15.75" customHeight="1">
      <c r="B2" s="197" t="e">
        <v>#VALUE!</v>
      </c>
      <c r="D2" s="197" t="e">
        <v>#VALUE!</v>
      </c>
      <c r="G2" s="197" t="n"/>
      <c r="H2" s="29" t="n"/>
      <c r="FY2" s="248" t="n"/>
      <c r="FZ2" s="248" t="n"/>
    </row>
    <row r="3" ht="15.75" customHeight="1">
      <c r="H3" s="29" t="n"/>
      <c r="I3" s="317" t="inlineStr">
        <is>
          <t>GRUP</t>
        </is>
      </c>
      <c r="J3" s="198">
        <f>IF(INDEX!G3 = "", "", INDEX!G3)</f>
        <v/>
      </c>
      <c r="K3" s="387" t="n"/>
      <c r="L3" s="387" t="n"/>
      <c r="M3" s="387" t="n"/>
      <c r="FY3" s="248" t="n"/>
      <c r="FZ3" s="248" t="n"/>
    </row>
    <row r="4" ht="15.75" customHeight="1">
      <c r="H4" s="29" t="n"/>
      <c r="I4" s="317" t="inlineStr">
        <is>
          <t>TUTOR/A</t>
        </is>
      </c>
      <c r="J4" s="198">
        <f>IF(INDEX!G4 = "", "", INDEX!G4)</f>
        <v/>
      </c>
      <c r="K4" s="387" t="n"/>
      <c r="L4" s="387" t="n"/>
      <c r="M4" s="387" t="n"/>
      <c r="FY4" s="248" t="n"/>
      <c r="FZ4" s="248" t="n"/>
    </row>
    <row r="5" ht="15.75" customHeight="1" thickBot="1">
      <c r="H5" s="29" t="n"/>
      <c r="I5" s="34" t="inlineStr">
        <is>
          <t>CURS ESCOLAR</t>
        </is>
      </c>
      <c r="J5" s="199">
        <f>INDEX!G5</f>
        <v/>
      </c>
      <c r="K5" s="388" t="n"/>
      <c r="L5" s="388" t="n"/>
      <c r="M5" s="388" t="n"/>
      <c r="FY5" s="248" t="n"/>
      <c r="FZ5" s="248" t="n"/>
    </row>
    <row r="6" ht="27" customHeight="1">
      <c r="H6" s="29" t="n"/>
      <c r="I6" s="35" t="n"/>
      <c r="J6" s="200" t="n"/>
      <c r="FY6" s="248" t="n"/>
      <c r="FZ6" s="248" t="n"/>
    </row>
    <row r="7" ht="21" customFormat="1" customHeight="1" s="37">
      <c r="B7" s="196" t="inlineStr">
        <is>
          <t>Resum acords adoptats de caràcter col·legiat</t>
        </is>
      </c>
    </row>
    <row r="8"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FY8" s="248" t="n"/>
      <c r="FZ8" s="248" t="n"/>
    </row>
    <row r="9" ht="30.75" customHeight="1">
      <c r="B9" s="201" t="inlineStr">
        <is>
          <t>Avaluació inicial</t>
        </is>
      </c>
      <c r="D9" s="38" t="n">
        <v>1</v>
      </c>
      <c r="E9" s="202" t="n"/>
      <c r="F9" s="387" t="n"/>
      <c r="G9" s="387" t="n"/>
      <c r="H9" s="387" t="n"/>
      <c r="I9" s="387" t="n"/>
      <c r="J9" s="387" t="n"/>
      <c r="K9" s="387" t="n"/>
      <c r="L9" s="387" t="n"/>
      <c r="M9" s="387" t="n"/>
      <c r="FY9" s="248" t="n"/>
      <c r="FZ9" s="248" t="n"/>
    </row>
    <row r="10" ht="30.75" customHeight="1">
      <c r="D10" s="38" t="n">
        <v>2</v>
      </c>
      <c r="E10" s="202" t="n"/>
      <c r="F10" s="387" t="n"/>
      <c r="G10" s="387" t="n"/>
      <c r="H10" s="387" t="n"/>
      <c r="I10" s="387" t="n"/>
      <c r="J10" s="387" t="n"/>
      <c r="K10" s="387" t="n"/>
      <c r="L10" s="387" t="n"/>
      <c r="M10" s="387" t="n"/>
      <c r="FY10" s="248" t="n"/>
      <c r="FZ10" s="248" t="n"/>
    </row>
    <row r="11" ht="30.75" customHeight="1">
      <c r="D11" s="38" t="n">
        <v>3</v>
      </c>
      <c r="E11" s="202" t="n"/>
      <c r="F11" s="387" t="n"/>
      <c r="G11" s="387" t="n"/>
      <c r="H11" s="387" t="n"/>
      <c r="I11" s="387" t="n"/>
      <c r="J11" s="387" t="n"/>
      <c r="K11" s="387" t="n"/>
      <c r="L11" s="387" t="n"/>
      <c r="M11" s="387" t="n"/>
      <c r="FY11" s="248" t="n"/>
      <c r="FZ11" s="248" t="n"/>
    </row>
    <row r="12" ht="30.75" customHeight="1">
      <c r="D12" s="38" t="n">
        <v>4</v>
      </c>
      <c r="E12" s="202" t="n"/>
      <c r="F12" s="387" t="n"/>
      <c r="G12" s="387" t="n"/>
      <c r="H12" s="387" t="n"/>
      <c r="I12" s="387" t="n"/>
      <c r="J12" s="387" t="n"/>
      <c r="K12" s="387" t="n"/>
      <c r="L12" s="387" t="n"/>
      <c r="M12" s="387" t="n"/>
      <c r="FY12" s="248" t="n"/>
      <c r="FZ12" s="248" t="n"/>
    </row>
    <row r="13" ht="30.75" customHeight="1">
      <c r="D13" s="38" t="n">
        <v>5</v>
      </c>
      <c r="E13" s="202" t="n"/>
      <c r="F13" s="387" t="n"/>
      <c r="G13" s="387" t="n"/>
      <c r="H13" s="387" t="n"/>
      <c r="I13" s="387" t="n"/>
      <c r="J13" s="387" t="n"/>
      <c r="K13" s="387" t="n"/>
      <c r="L13" s="387" t="n"/>
      <c r="M13" s="387" t="n"/>
      <c r="FY13" s="248" t="n"/>
      <c r="FZ13" s="248" t="n"/>
    </row>
    <row r="14" ht="30.75" customHeight="1">
      <c r="D14" s="38" t="n">
        <v>6</v>
      </c>
      <c r="E14" s="202" t="n"/>
      <c r="F14" s="387" t="n"/>
      <c r="G14" s="387" t="n"/>
      <c r="H14" s="387" t="n"/>
      <c r="I14" s="387" t="n"/>
      <c r="J14" s="387" t="n"/>
      <c r="K14" s="387" t="n"/>
      <c r="L14" s="387" t="n"/>
      <c r="M14" s="387" t="n"/>
      <c r="FY14" s="248" t="n"/>
      <c r="FZ14" s="248" t="n"/>
    </row>
    <row r="15" ht="30.75" customHeight="1" thickBot="1">
      <c r="D15" s="39" t="n">
        <v>7</v>
      </c>
      <c r="E15" s="203" t="n"/>
      <c r="F15" s="388" t="n"/>
      <c r="G15" s="388" t="n"/>
      <c r="H15" s="388" t="n"/>
      <c r="I15" s="388" t="n"/>
      <c r="J15" s="388" t="n"/>
      <c r="K15" s="388" t="n"/>
      <c r="L15" s="388" t="n"/>
      <c r="M15" s="388" t="n"/>
      <c r="FY15" s="248" t="n"/>
      <c r="FZ15" s="248" t="n"/>
    </row>
    <row r="16" ht="30.75" customHeight="1"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FY16" s="248" t="n"/>
      <c r="FZ16" s="248" t="n"/>
    </row>
    <row r="17" ht="30.75" customHeight="1">
      <c r="B17" s="201" t="inlineStr">
        <is>
          <t>Primera parcial</t>
        </is>
      </c>
      <c r="D17" s="38" t="n">
        <v>1</v>
      </c>
      <c r="E17" s="202" t="n"/>
      <c r="F17" s="387" t="n"/>
      <c r="G17" s="387" t="n"/>
      <c r="H17" s="387" t="n"/>
      <c r="I17" s="387" t="n"/>
      <c r="J17" s="387" t="n"/>
      <c r="K17" s="387" t="n"/>
      <c r="L17" s="387" t="n"/>
      <c r="M17" s="387" t="n"/>
      <c r="FY17" s="248" t="n"/>
      <c r="FZ17" s="248" t="n"/>
    </row>
    <row r="18" ht="30.75" customHeight="1">
      <c r="D18" s="38" t="n">
        <v>2</v>
      </c>
      <c r="E18" s="202" t="n"/>
      <c r="F18" s="387" t="n"/>
      <c r="G18" s="387" t="n"/>
      <c r="H18" s="387" t="n"/>
      <c r="I18" s="387" t="n"/>
      <c r="J18" s="387" t="n"/>
      <c r="K18" s="387" t="n"/>
      <c r="L18" s="387" t="n"/>
      <c r="M18" s="387" t="n"/>
      <c r="FY18" s="248" t="n"/>
      <c r="FZ18" s="248" t="n"/>
    </row>
    <row r="19" ht="30.75" customHeight="1">
      <c r="D19" s="38" t="n">
        <v>3</v>
      </c>
      <c r="E19" s="202" t="n"/>
      <c r="F19" s="387" t="n"/>
      <c r="G19" s="387" t="n"/>
      <c r="H19" s="387" t="n"/>
      <c r="I19" s="387" t="n"/>
      <c r="J19" s="387" t="n"/>
      <c r="K19" s="387" t="n"/>
      <c r="L19" s="387" t="n"/>
      <c r="M19" s="387" t="n"/>
      <c r="FY19" s="248" t="n"/>
      <c r="FZ19" s="248" t="n"/>
    </row>
    <row r="20" ht="30.75" customHeight="1">
      <c r="D20" s="38" t="n">
        <v>4</v>
      </c>
      <c r="E20" s="202" t="n"/>
      <c r="F20" s="387" t="n"/>
      <c r="G20" s="387" t="n"/>
      <c r="H20" s="387" t="n"/>
      <c r="I20" s="387" t="n"/>
      <c r="J20" s="387" t="n"/>
      <c r="K20" s="387" t="n"/>
      <c r="L20" s="387" t="n"/>
      <c r="M20" s="387" t="n"/>
      <c r="FY20" s="248" t="n"/>
      <c r="FZ20" s="248" t="n"/>
    </row>
    <row r="21" ht="30.75" customHeight="1">
      <c r="D21" s="38" t="n">
        <v>5</v>
      </c>
      <c r="E21" s="202" t="n"/>
      <c r="F21" s="387" t="n"/>
      <c r="G21" s="387" t="n"/>
      <c r="H21" s="387" t="n"/>
      <c r="I21" s="387" t="n"/>
      <c r="J21" s="387" t="n"/>
      <c r="K21" s="387" t="n"/>
      <c r="L21" s="387" t="n"/>
      <c r="M21" s="387" t="n"/>
      <c r="FY21" s="248" t="n"/>
      <c r="FZ21" s="248" t="n"/>
    </row>
    <row r="22" ht="30.75" customHeight="1">
      <c r="D22" s="38" t="n">
        <v>6</v>
      </c>
      <c r="E22" s="202" t="n"/>
      <c r="F22" s="387" t="n"/>
      <c r="G22" s="387" t="n"/>
      <c r="H22" s="387" t="n"/>
      <c r="I22" s="387" t="n"/>
      <c r="J22" s="387" t="n"/>
      <c r="K22" s="387" t="n"/>
      <c r="L22" s="387" t="n"/>
      <c r="M22" s="387" t="n"/>
      <c r="FY22" s="248" t="n"/>
      <c r="FZ22" s="248" t="n"/>
    </row>
    <row r="23" ht="30.75" customHeight="1" thickBot="1">
      <c r="D23" s="39" t="n">
        <v>7</v>
      </c>
      <c r="E23" s="203" t="n"/>
      <c r="F23" s="388" t="n"/>
      <c r="G23" s="388" t="n"/>
      <c r="H23" s="388" t="n"/>
      <c r="I23" s="388" t="n"/>
      <c r="J23" s="388" t="n"/>
      <c r="K23" s="388" t="n"/>
      <c r="L23" s="388" t="n"/>
      <c r="M23" s="388" t="n"/>
      <c r="FY23" s="248" t="n"/>
      <c r="FZ23" s="248" t="n"/>
    </row>
    <row r="24" ht="30.75" customHeight="1"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FY24" s="248" t="n"/>
      <c r="FZ24" s="248" t="n"/>
    </row>
    <row r="25" ht="30.75" customHeight="1">
      <c r="B25" s="201" t="inlineStr">
        <is>
          <t>Segona parcial</t>
        </is>
      </c>
      <c r="D25" s="38" t="n">
        <v>1</v>
      </c>
      <c r="E25" s="204" t="n"/>
      <c r="F25" s="387" t="n"/>
      <c r="G25" s="387" t="n"/>
      <c r="H25" s="387" t="n"/>
      <c r="I25" s="387" t="n"/>
      <c r="J25" s="387" t="n"/>
      <c r="K25" s="387" t="n"/>
      <c r="L25" s="387" t="n"/>
      <c r="M25" s="387" t="n"/>
      <c r="FY25" s="248" t="n"/>
      <c r="FZ25" s="248" t="n"/>
    </row>
    <row r="26" ht="30.75" customHeight="1">
      <c r="D26" s="38" t="n">
        <v>2</v>
      </c>
      <c r="E26" s="204" t="n"/>
      <c r="F26" s="387" t="n"/>
      <c r="G26" s="387" t="n"/>
      <c r="H26" s="387" t="n"/>
      <c r="I26" s="387" t="n"/>
      <c r="J26" s="387" t="n"/>
      <c r="K26" s="387" t="n"/>
      <c r="L26" s="387" t="n"/>
      <c r="M26" s="387" t="n"/>
      <c r="FY26" s="248" t="n"/>
      <c r="FZ26" s="248" t="n"/>
    </row>
    <row r="27" ht="30.75" customHeight="1">
      <c r="D27" s="38" t="n">
        <v>3</v>
      </c>
      <c r="E27" s="204" t="n"/>
      <c r="F27" s="387" t="n"/>
      <c r="G27" s="387" t="n"/>
      <c r="H27" s="387" t="n"/>
      <c r="I27" s="387" t="n"/>
      <c r="J27" s="387" t="n"/>
      <c r="K27" s="387" t="n"/>
      <c r="L27" s="387" t="n"/>
      <c r="M27" s="387" t="n"/>
      <c r="FY27" s="248" t="n"/>
      <c r="FZ27" s="248" t="n"/>
    </row>
    <row r="28" ht="30.75" customHeight="1">
      <c r="D28" s="38" t="n">
        <v>4</v>
      </c>
      <c r="E28" s="204" t="n"/>
      <c r="F28" s="387" t="n"/>
      <c r="G28" s="387" t="n"/>
      <c r="H28" s="387" t="n"/>
      <c r="I28" s="387" t="n"/>
      <c r="J28" s="387" t="n"/>
      <c r="K28" s="387" t="n"/>
      <c r="L28" s="387" t="n"/>
      <c r="M28" s="387" t="n"/>
      <c r="FY28" s="248" t="n"/>
      <c r="FZ28" s="248" t="n"/>
    </row>
    <row r="29" ht="30.75" customHeight="1">
      <c r="D29" s="38" t="n">
        <v>5</v>
      </c>
      <c r="E29" s="204" t="n"/>
      <c r="F29" s="387" t="n"/>
      <c r="G29" s="387" t="n"/>
      <c r="H29" s="387" t="n"/>
      <c r="I29" s="387" t="n"/>
      <c r="J29" s="387" t="n"/>
      <c r="K29" s="387" t="n"/>
      <c r="L29" s="387" t="n"/>
      <c r="M29" s="387" t="n"/>
      <c r="FY29" s="248" t="n"/>
      <c r="FZ29" s="248" t="n"/>
    </row>
    <row r="30" ht="30.75" customHeight="1">
      <c r="D30" s="38" t="n">
        <v>6</v>
      </c>
      <c r="E30" s="204" t="n"/>
      <c r="F30" s="387" t="n"/>
      <c r="G30" s="387" t="n"/>
      <c r="H30" s="387" t="n"/>
      <c r="I30" s="387" t="n"/>
      <c r="J30" s="387" t="n"/>
      <c r="K30" s="387" t="n"/>
      <c r="L30" s="387" t="n"/>
      <c r="M30" s="387" t="n"/>
      <c r="FY30" s="248" t="n"/>
      <c r="FZ30" s="248" t="n"/>
    </row>
    <row r="31" ht="30.75" customHeight="1" thickBot="1">
      <c r="D31" s="39" t="n">
        <v>7</v>
      </c>
      <c r="E31" s="205" t="n"/>
      <c r="F31" s="388" t="n"/>
      <c r="G31" s="388" t="n"/>
      <c r="H31" s="388" t="n"/>
      <c r="I31" s="388" t="n"/>
      <c r="J31" s="388" t="n"/>
      <c r="K31" s="388" t="n"/>
      <c r="L31" s="388" t="n"/>
      <c r="M31" s="388" t="n"/>
      <c r="FY31" s="248" t="n"/>
      <c r="FZ31" s="248" t="n"/>
    </row>
    <row r="32" ht="30.75" customHeight="1"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FY32" s="248" t="n"/>
      <c r="FZ32" s="248" t="n"/>
    </row>
    <row r="33" ht="30.75" customHeight="1">
      <c r="B33" s="206" t="inlineStr">
        <is>
          <t>Avaluació final ordinaria</t>
        </is>
      </c>
      <c r="D33" s="38" t="n">
        <v>1</v>
      </c>
      <c r="E33" s="202" t="n"/>
      <c r="F33" s="387" t="n"/>
      <c r="G33" s="387" t="n"/>
      <c r="H33" s="387" t="n"/>
      <c r="I33" s="387" t="n"/>
      <c r="J33" s="387" t="n"/>
      <c r="K33" s="387" t="n"/>
      <c r="L33" s="387" t="n"/>
      <c r="M33" s="387" t="n"/>
      <c r="FY33" s="248" t="n"/>
      <c r="FZ33" s="248" t="n"/>
    </row>
    <row r="34" ht="30.75" customHeight="1">
      <c r="D34" s="38" t="n">
        <v>2</v>
      </c>
      <c r="E34" s="202" t="n"/>
      <c r="F34" s="387" t="n"/>
      <c r="G34" s="387" t="n"/>
      <c r="H34" s="387" t="n"/>
      <c r="I34" s="387" t="n"/>
      <c r="J34" s="387" t="n"/>
      <c r="K34" s="387" t="n"/>
      <c r="L34" s="387" t="n"/>
      <c r="M34" s="387" t="n"/>
      <c r="FY34" s="248" t="n"/>
      <c r="FZ34" s="248" t="n"/>
    </row>
    <row r="35" ht="30.75" customHeight="1">
      <c r="D35" s="38" t="n">
        <v>3</v>
      </c>
      <c r="E35" s="202" t="n"/>
      <c r="F35" s="387" t="n"/>
      <c r="G35" s="387" t="n"/>
      <c r="H35" s="387" t="n"/>
      <c r="I35" s="387" t="n"/>
      <c r="J35" s="387" t="n"/>
      <c r="K35" s="387" t="n"/>
      <c r="L35" s="387" t="n"/>
      <c r="M35" s="387" t="n"/>
      <c r="FY35" s="248" t="n"/>
      <c r="FZ35" s="248" t="n"/>
    </row>
    <row r="36" ht="30.75" customHeight="1">
      <c r="D36" s="38" t="n">
        <v>4</v>
      </c>
      <c r="E36" s="202" t="n"/>
      <c r="F36" s="387" t="n"/>
      <c r="G36" s="387" t="n"/>
      <c r="H36" s="387" t="n"/>
      <c r="I36" s="387" t="n"/>
      <c r="J36" s="387" t="n"/>
      <c r="K36" s="387" t="n"/>
      <c r="L36" s="387" t="n"/>
      <c r="M36" s="387" t="n"/>
      <c r="FY36" s="248" t="n"/>
      <c r="FZ36" s="248" t="n"/>
    </row>
    <row r="37" ht="30.75" customHeight="1">
      <c r="D37" s="38" t="n">
        <v>5</v>
      </c>
      <c r="E37" s="202" t="n"/>
      <c r="F37" s="387" t="n"/>
      <c r="G37" s="387" t="n"/>
      <c r="H37" s="387" t="n"/>
      <c r="I37" s="387" t="n"/>
      <c r="J37" s="387" t="n"/>
      <c r="K37" s="387" t="n"/>
      <c r="L37" s="387" t="n"/>
      <c r="M37" s="387" t="n"/>
      <c r="FY37" s="248" t="n"/>
      <c r="FZ37" s="248" t="n"/>
    </row>
    <row r="38" ht="30.75" customHeight="1">
      <c r="D38" s="38" t="n">
        <v>6</v>
      </c>
      <c r="E38" s="202" t="n"/>
      <c r="F38" s="387" t="n"/>
      <c r="G38" s="387" t="n"/>
      <c r="H38" s="387" t="n"/>
      <c r="I38" s="387" t="n"/>
      <c r="J38" s="387" t="n"/>
      <c r="K38" s="387" t="n"/>
      <c r="L38" s="387" t="n"/>
      <c r="M38" s="387" t="n"/>
      <c r="FY38" s="248" t="n"/>
      <c r="FZ38" s="248" t="n"/>
    </row>
    <row r="39" ht="30.75" customHeight="1" thickBot="1">
      <c r="D39" s="39" t="n">
        <v>7</v>
      </c>
      <c r="E39" s="203" t="n"/>
      <c r="F39" s="388" t="n"/>
      <c r="G39" s="388" t="n"/>
      <c r="H39" s="388" t="n"/>
      <c r="I39" s="388" t="n"/>
      <c r="J39" s="388" t="n"/>
      <c r="K39" s="388" t="n"/>
      <c r="L39" s="388" t="n"/>
      <c r="M39" s="388" t="n"/>
      <c r="FY39" s="248" t="n"/>
      <c r="FZ39" s="248" t="n"/>
    </row>
    <row r="40" ht="30.75" customHeight="1">
      <c r="FY40" s="248" t="n"/>
      <c r="FZ40" s="248" t="n"/>
    </row>
    <row r="41" ht="30.75" customHeight="1">
      <c r="B41" s="206" t="inlineStr">
        <is>
          <t>Avaluació extraordinària</t>
        </is>
      </c>
      <c r="D41" s="38" t="n">
        <v>1</v>
      </c>
      <c r="E41" s="202" t="n"/>
      <c r="F41" s="387" t="n"/>
      <c r="G41" s="387" t="n"/>
      <c r="H41" s="387" t="n"/>
      <c r="I41" s="387" t="n"/>
      <c r="J41" s="387" t="n"/>
      <c r="K41" s="387" t="n"/>
      <c r="L41" s="387" t="n"/>
      <c r="M41" s="387" t="n"/>
      <c r="FY41" s="248" t="n"/>
      <c r="FZ41" s="248" t="n"/>
    </row>
    <row r="42" ht="30.75" customHeight="1">
      <c r="D42" s="38" t="n">
        <v>2</v>
      </c>
      <c r="E42" s="202" t="n"/>
      <c r="F42" s="387" t="n"/>
      <c r="G42" s="387" t="n"/>
      <c r="H42" s="387" t="n"/>
      <c r="I42" s="387" t="n"/>
      <c r="J42" s="387" t="n"/>
      <c r="K42" s="387" t="n"/>
      <c r="L42" s="387" t="n"/>
      <c r="M42" s="387" t="n"/>
      <c r="FY42" s="248" t="n"/>
      <c r="FZ42" s="248" t="n"/>
    </row>
    <row r="43" ht="30.75" customHeight="1">
      <c r="D43" s="38" t="n">
        <v>3</v>
      </c>
      <c r="E43" s="202" t="n"/>
      <c r="F43" s="387" t="n"/>
      <c r="G43" s="387" t="n"/>
      <c r="H43" s="387" t="n"/>
      <c r="I43" s="387" t="n"/>
      <c r="J43" s="387" t="n"/>
      <c r="K43" s="387" t="n"/>
      <c r="L43" s="387" t="n"/>
      <c r="M43" s="387" t="n"/>
      <c r="FY43" s="248" t="n"/>
      <c r="FZ43" s="248" t="n"/>
    </row>
    <row r="44" ht="30.75" customHeight="1">
      <c r="D44" s="38" t="n">
        <v>4</v>
      </c>
      <c r="E44" s="202" t="n"/>
      <c r="F44" s="387" t="n"/>
      <c r="G44" s="387" t="n"/>
      <c r="H44" s="387" t="n"/>
      <c r="I44" s="387" t="n"/>
      <c r="J44" s="387" t="n"/>
      <c r="K44" s="387" t="n"/>
      <c r="L44" s="387" t="n"/>
      <c r="M44" s="387" t="n"/>
      <c r="FY44" s="248" t="n"/>
      <c r="FZ44" s="248" t="n"/>
    </row>
    <row r="45" ht="30.75" customHeight="1">
      <c r="D45" s="38" t="n">
        <v>5</v>
      </c>
      <c r="E45" s="202" t="n"/>
      <c r="F45" s="387" t="n"/>
      <c r="G45" s="387" t="n"/>
      <c r="H45" s="387" t="n"/>
      <c r="I45" s="387" t="n"/>
      <c r="J45" s="387" t="n"/>
      <c r="K45" s="387" t="n"/>
      <c r="L45" s="387" t="n"/>
      <c r="M45" s="387" t="n"/>
      <c r="FY45" s="248" t="n"/>
      <c r="FZ45" s="248" t="n"/>
    </row>
    <row r="46" ht="30.75" customHeight="1">
      <c r="D46" s="38" t="n">
        <v>6</v>
      </c>
      <c r="E46" s="202" t="n"/>
      <c r="F46" s="387" t="n"/>
      <c r="G46" s="387" t="n"/>
      <c r="H46" s="387" t="n"/>
      <c r="I46" s="387" t="n"/>
      <c r="J46" s="387" t="n"/>
      <c r="K46" s="387" t="n"/>
      <c r="L46" s="387" t="n"/>
      <c r="M46" s="387" t="n"/>
      <c r="FY46" s="248" t="n"/>
      <c r="FZ46" s="248" t="n"/>
    </row>
    <row r="47" ht="30.75" customHeight="1" thickBot="1">
      <c r="D47" s="39" t="n">
        <v>7</v>
      </c>
      <c r="E47" s="203" t="n"/>
      <c r="F47" s="388" t="n"/>
      <c r="G47" s="388" t="n"/>
      <c r="H47" s="388" t="n"/>
      <c r="I47" s="388" t="n"/>
      <c r="J47" s="388" t="n"/>
      <c r="K47" s="388" t="n"/>
      <c r="L47" s="388" t="n"/>
      <c r="M47" s="388" t="n"/>
      <c r="FY47" s="248" t="n"/>
      <c r="FZ47" s="248" t="n"/>
    </row>
    <row r="48" ht="15.75" customHeight="1"/>
    <row r="49" ht="15.75" customHeight="1"/>
    <row r="50" ht="15.75" customHeight="1"/>
    <row r="51" ht="15.75" customHeight="1"/>
    <row r="52" ht="15.75" customHeight="1"/>
  </sheetData>
  <mergeCells count="48">
    <mergeCell ref="E29:M29"/>
    <mergeCell ref="E19:M19"/>
    <mergeCell ref="B33:C39"/>
    <mergeCell ref="E10:M10"/>
    <mergeCell ref="E28:M28"/>
    <mergeCell ref="D2:F6"/>
    <mergeCell ref="J3:M3"/>
    <mergeCell ref="E13:M13"/>
    <mergeCell ref="E9:M9"/>
    <mergeCell ref="E31:M31"/>
    <mergeCell ref="E34:M34"/>
    <mergeCell ref="E30:M30"/>
    <mergeCell ref="E46:M46"/>
    <mergeCell ref="E15:M15"/>
    <mergeCell ref="E11:M11"/>
    <mergeCell ref="B25:C31"/>
    <mergeCell ref="E27:M27"/>
    <mergeCell ref="B41:C47"/>
    <mergeCell ref="E45:M45"/>
    <mergeCell ref="E36:M36"/>
    <mergeCell ref="B2:C6"/>
    <mergeCell ref="E38:M38"/>
    <mergeCell ref="E26:M26"/>
    <mergeCell ref="J5:M5"/>
    <mergeCell ref="G2:G6"/>
    <mergeCell ref="E25:M25"/>
    <mergeCell ref="E41:M41"/>
    <mergeCell ref="B17:C23"/>
    <mergeCell ref="E37:M37"/>
    <mergeCell ref="E22:M22"/>
    <mergeCell ref="E18:M18"/>
    <mergeCell ref="J6:M6"/>
    <mergeCell ref="E47:M47"/>
    <mergeCell ref="E21:M21"/>
    <mergeCell ref="E43:M43"/>
    <mergeCell ref="E12:M12"/>
    <mergeCell ref="B7:M7"/>
    <mergeCell ref="E33:M33"/>
    <mergeCell ref="B9:C15"/>
    <mergeCell ref="E42:M42"/>
    <mergeCell ref="E23:M23"/>
    <mergeCell ref="J4:M4"/>
    <mergeCell ref="E14:M14"/>
    <mergeCell ref="E17:M17"/>
    <mergeCell ref="E39:M39"/>
    <mergeCell ref="E35:M35"/>
    <mergeCell ref="E20:M20"/>
    <mergeCell ref="E44:M44"/>
  </mergeCells>
  <dataValidations count="1">
    <dataValidation sqref="J6" showDropDown="0" showInputMessage="0" showErrorMessage="0" allowBlank="1" type="list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tabSelected="1" topLeftCell="M23" workbookViewId="0">
      <selection activeCell="O27" sqref="O27"/>
    </sheetView>
  </sheetViews>
  <sheetFormatPr baseColWidth="10" defaultColWidth="0" defaultRowHeight="15.75" zeroHeight="1"/>
  <cols>
    <col width="3.59765625" customWidth="1" style="44" min="1" max="1"/>
    <col width="12.59765625" customWidth="1" style="44" min="2" max="2"/>
    <col width="39.73046875" customWidth="1" style="44" min="3" max="3"/>
    <col width="12.59765625" customWidth="1" style="44" min="4" max="4"/>
    <col width="14.59765625" customWidth="1" style="44" min="5" max="5"/>
    <col width="12.59765625" customWidth="1" style="44" min="6" max="12"/>
    <col width="14.86328125" customWidth="1" style="44" min="13" max="15"/>
    <col width="15.1328125" customWidth="1" style="44" min="16" max="16"/>
    <col width="3.59765625" customWidth="1" style="44" min="17" max="17"/>
    <col hidden="1" width="15.1328125" customWidth="1" style="44" min="18" max="25"/>
    <col hidden="1" width="4.3984375" customWidth="1" style="44" min="26" max="183"/>
    <col hidden="1" style="44" min="184" max="16382"/>
    <col hidden="1" width="4" customWidth="1" style="44" min="16383" max="16384"/>
  </cols>
  <sheetData>
    <row r="1" ht="15.75" customHeight="1">
      <c r="B1" s="42" t="n"/>
      <c r="C1" s="42" t="n"/>
      <c r="D1" s="42" t="n"/>
      <c r="E1" s="42" t="n"/>
      <c r="F1" s="42" t="n"/>
      <c r="G1" s="42" t="n"/>
      <c r="H1" s="207" t="inlineStr">
        <is>
          <t>PC03.F01 Acta d'avaluació Ed.02 - Setem.25</t>
        </is>
      </c>
      <c r="N1" s="43" t="n"/>
    </row>
    <row r="2" ht="15.75" customHeight="1">
      <c r="B2" s="208" t="e">
        <v>#VALUE!</v>
      </c>
      <c r="D2" s="208" t="e">
        <v>#VALUE!</v>
      </c>
      <c r="H2" s="42" t="n"/>
    </row>
    <row r="3" ht="15.75" customHeight="1">
      <c r="H3" s="209" t="inlineStr">
        <is>
          <t>GRUP</t>
        </is>
      </c>
      <c r="I3" s="389" t="n"/>
      <c r="J3" s="198">
        <f>IF(INDEX!G3 = "", "", INDEX!G3)</f>
        <v/>
      </c>
      <c r="K3" s="387" t="n"/>
      <c r="L3" s="387" t="n"/>
      <c r="M3" s="387" t="n"/>
    </row>
    <row r="4" ht="15.75" customHeight="1">
      <c r="H4" s="210" t="inlineStr">
        <is>
          <t>TUTOR/A</t>
        </is>
      </c>
      <c r="I4" s="383" t="n"/>
      <c r="J4" s="198">
        <f>IF(INDEX!G4 = "", "", INDEX!G4)</f>
        <v/>
      </c>
      <c r="K4" s="387" t="n"/>
      <c r="L4" s="387" t="n"/>
      <c r="M4" s="387" t="n"/>
    </row>
    <row r="5" ht="15.75" customHeight="1" thickBot="1">
      <c r="H5" s="209" t="inlineStr">
        <is>
          <t>CURS ESCOLAR</t>
        </is>
      </c>
      <c r="I5" s="389" t="n"/>
      <c r="J5" s="199">
        <f>INDEX!G5</f>
        <v/>
      </c>
      <c r="K5" s="388" t="n"/>
      <c r="L5" s="388" t="n"/>
      <c r="M5" s="388" t="n"/>
    </row>
    <row r="6" ht="15" customHeight="1" thickBot="1">
      <c r="H6" s="211" t="inlineStr">
        <is>
          <t>AVALUACIÓ</t>
        </is>
      </c>
      <c r="I6" s="390" t="n"/>
      <c r="J6" s="214" t="inlineStr">
        <is>
          <t>Avaluació 0 (inicial)</t>
        </is>
      </c>
      <c r="K6" s="388" t="n"/>
      <c r="L6" s="388" t="n"/>
      <c r="M6" s="388" t="n"/>
    </row>
    <row r="7" ht="17.25" customHeight="1">
      <c r="B7" s="42" t="n"/>
      <c r="C7" s="42" t="n"/>
      <c r="D7" s="42" t="n"/>
      <c r="E7" s="42" t="n"/>
      <c r="F7" s="42" t="n"/>
      <c r="G7" s="42" t="n"/>
      <c r="H7" s="215" t="inlineStr">
        <is>
          <t>DATA SESSIÓ</t>
        </is>
      </c>
      <c r="J7" s="216" t="n">
        <v>45901</v>
      </c>
      <c r="K7" s="386" t="n"/>
      <c r="L7" s="386" t="n"/>
      <c r="M7" s="386" t="n"/>
    </row>
    <row r="8" ht="27" customHeight="1"/>
    <row r="9" ht="27" customFormat="1" customHeight="1" s="46">
      <c r="B9" s="391" t="inlineStr">
        <is>
          <t>1- Informe sobre els aspectes generals del grup</t>
        </is>
      </c>
      <c r="C9" s="392" t="n"/>
      <c r="D9" s="392" t="n"/>
      <c r="E9" s="392" t="n"/>
      <c r="F9" s="392" t="n"/>
      <c r="G9" s="392" t="n"/>
      <c r="H9" s="392" t="n"/>
      <c r="I9" s="392" t="n"/>
      <c r="J9" s="392" t="n"/>
      <c r="K9" s="392" t="n"/>
      <c r="L9" s="392" t="n"/>
      <c r="M9" s="392" t="n"/>
      <c r="N9" s="392" t="n"/>
      <c r="O9" s="392" t="n"/>
      <c r="P9" s="393" t="n"/>
    </row>
    <row r="10"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</row>
    <row r="11" ht="27" customHeight="1">
      <c r="B11" s="220" t="inlineStr">
        <is>
          <t>Valoració de l'assistència i puntualitat a classe. Gestió del temps i compromís amb l'aprenentatge.</t>
        </is>
      </c>
    </row>
    <row r="12" ht="60" customHeight="1">
      <c r="B12" s="212" t="n"/>
      <c r="C12" s="387" t="n"/>
      <c r="D12" s="387" t="n"/>
      <c r="E12" s="387" t="n"/>
      <c r="F12" s="387" t="n"/>
      <c r="G12" s="387" t="n"/>
      <c r="H12" s="387" t="n"/>
      <c r="I12" s="387" t="n"/>
      <c r="J12" s="387" t="n"/>
      <c r="K12" s="387" t="n"/>
      <c r="L12" s="387" t="n"/>
      <c r="M12" s="387" t="n"/>
      <c r="N12" s="387" t="n"/>
      <c r="O12" s="387" t="n"/>
      <c r="P12" s="387" t="n"/>
    </row>
    <row r="13" ht="27" customHeight="1"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</row>
    <row r="14" ht="27" customHeight="1">
      <c r="B14" s="220" t="inlineStr">
        <is>
          <t>Valoració de les competències actitudinals i hàbits de treball.</t>
        </is>
      </c>
    </row>
    <row r="15" ht="60" customHeight="1">
      <c r="B15" s="212" t="n"/>
      <c r="C15" s="387" t="n"/>
      <c r="D15" s="387" t="n"/>
      <c r="E15" s="387" t="n"/>
      <c r="F15" s="387" t="n"/>
      <c r="G15" s="387" t="n"/>
      <c r="H15" s="387" t="n"/>
      <c r="I15" s="387" t="n"/>
      <c r="J15" s="387" t="n"/>
      <c r="K15" s="387" t="n"/>
      <c r="L15" s="387" t="n"/>
      <c r="M15" s="387" t="n"/>
      <c r="N15" s="387" t="n"/>
      <c r="O15" s="387" t="n"/>
      <c r="P15" s="387" t="n"/>
    </row>
    <row r="16" ht="27" customHeight="1"/>
    <row r="17" ht="27" customHeight="1">
      <c r="B17" s="221" t="inlineStr">
        <is>
          <t>Valoració de l'ambient de la classe, interacció entre l'alumnat: convivència, participació i col·laboració.</t>
        </is>
      </c>
      <c r="C17" s="394" t="n"/>
      <c r="D17" s="394" t="n"/>
      <c r="E17" s="394" t="n"/>
      <c r="F17" s="394" t="n"/>
      <c r="G17" s="394" t="n"/>
      <c r="H17" s="394" t="n"/>
      <c r="I17" s="394" t="n"/>
      <c r="J17" s="394" t="n"/>
      <c r="K17" s="394" t="n"/>
      <c r="L17" s="394" t="n"/>
      <c r="M17" s="394" t="n"/>
      <c r="N17" s="394" t="n"/>
      <c r="O17" s="394" t="n"/>
      <c r="P17" s="394" t="n"/>
    </row>
    <row r="18" ht="60" customHeight="1">
      <c r="B18" s="212" t="n"/>
      <c r="C18" s="387" t="n"/>
      <c r="D18" s="387" t="n"/>
      <c r="E18" s="387" t="n"/>
      <c r="F18" s="387" t="n"/>
      <c r="G18" s="387" t="n"/>
      <c r="H18" s="387" t="n"/>
      <c r="I18" s="387" t="n"/>
      <c r="J18" s="387" t="n"/>
      <c r="K18" s="387" t="n"/>
      <c r="L18" s="387" t="n"/>
      <c r="M18" s="387" t="n"/>
      <c r="N18" s="387" t="n"/>
      <c r="O18" s="387" t="n"/>
      <c r="P18" s="387" t="n"/>
    </row>
    <row r="19" ht="27" customHeight="1">
      <c r="B19" s="47" t="n"/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</row>
    <row r="20" ht="27" customFormat="1" customHeight="1" s="46">
      <c r="B20" s="391" t="inlineStr">
        <is>
          <t>2- Informació traslladada per l'alumnat</t>
        </is>
      </c>
      <c r="C20" s="392" t="n"/>
      <c r="D20" s="392" t="n"/>
      <c r="E20" s="392" t="n"/>
      <c r="F20" s="392" t="n"/>
      <c r="G20" s="392" t="n"/>
      <c r="H20" s="392" t="n"/>
      <c r="I20" s="392" t="n"/>
      <c r="J20" s="392" t="n"/>
      <c r="K20" s="392" t="n"/>
      <c r="L20" s="392" t="n"/>
      <c r="M20" s="392" t="n"/>
      <c r="N20" s="392" t="n"/>
      <c r="O20" s="392" t="n"/>
      <c r="P20" s="393" t="n"/>
    </row>
    <row r="21" ht="27" customHeight="1">
      <c r="B21" s="48" t="inlineStr">
        <is>
          <t>Identificació de mòduls i resultats d'aprenentatge amb majors dificultats. Falta de desenvolupament de determinades competències.</t>
        </is>
      </c>
      <c r="C21" s="47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</row>
    <row r="22" ht="27" customHeight="1">
      <c r="B22" s="212" t="n"/>
      <c r="C22" s="387" t="n"/>
      <c r="D22" s="387" t="n"/>
      <c r="E22" s="387" t="n"/>
      <c r="F22" s="387" t="n"/>
      <c r="G22" s="387" t="n"/>
      <c r="H22" s="387" t="n"/>
      <c r="I22" s="387" t="n"/>
      <c r="J22" s="387" t="n"/>
      <c r="K22" s="387" t="n"/>
      <c r="L22" s="387" t="n"/>
      <c r="M22" s="387" t="n"/>
      <c r="N22" s="387" t="n"/>
      <c r="O22" s="387" t="n"/>
      <c r="P22" s="387" t="n"/>
    </row>
    <row r="23" ht="27" customHeight="1"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</row>
    <row r="24" ht="27" customHeight="1">
      <c r="B24" s="391" t="inlineStr">
        <is>
          <t>3- Estadístiques sobre el context del grup</t>
        </is>
      </c>
      <c r="C24" s="392" t="n"/>
      <c r="D24" s="392" t="n"/>
      <c r="E24" s="392" t="n"/>
      <c r="F24" s="392" t="n"/>
      <c r="G24" s="392" t="n"/>
      <c r="H24" s="392" t="n"/>
      <c r="I24" s="392" t="n"/>
      <c r="J24" s="392" t="n"/>
      <c r="K24" s="392" t="n"/>
      <c r="L24" s="392" t="n"/>
      <c r="M24" s="392" t="n"/>
      <c r="N24" s="392" t="n"/>
      <c r="O24" s="392" t="n"/>
      <c r="P24" s="393" t="n"/>
    </row>
    <row r="25">
      <c r="C25" s="50" t="n"/>
      <c r="I25" s="51" t="n"/>
      <c r="J25" s="51" t="n"/>
      <c r="K25" s="51" t="n"/>
      <c r="L25" s="51" t="n"/>
      <c r="M25" s="51" t="n"/>
    </row>
    <row r="26" ht="15" customFormat="1" customHeight="1" s="51">
      <c r="B26" s="222" t="inlineStr">
        <is>
          <t>Via d'accés de l'alumnat</t>
        </is>
      </c>
      <c r="C26" s="395" t="n"/>
      <c r="D26" s="395" t="n"/>
      <c r="E26" s="395" t="n"/>
      <c r="F26" s="52" t="n"/>
      <c r="G26" s="222" t="inlineStr">
        <is>
          <t>Experiència professional prèvia</t>
        </is>
      </c>
      <c r="H26" s="395" t="n"/>
      <c r="I26" s="395" t="n"/>
      <c r="J26" s="395" t="n"/>
      <c r="K26" s="395" t="n"/>
      <c r="L26" s="53" t="n"/>
      <c r="M26" s="223" t="inlineStr">
        <is>
          <t>Total alumnat grup</t>
        </is>
      </c>
      <c r="N26" s="395" t="n"/>
      <c r="O26" s="54">
        <f>COUNTIFS($C$36:$C$75,"&lt;&gt;",$D$36:$D$75,"&lt;&gt;Baixa")</f>
        <v/>
      </c>
      <c r="P26" s="55" t="inlineStr">
        <is>
          <t>% sobre total</t>
        </is>
      </c>
    </row>
    <row r="27" ht="15" customFormat="1" customHeight="1" s="51">
      <c r="B27" s="224" t="inlineStr">
        <is>
          <t>Núm. alumnat ESO</t>
        </is>
      </c>
      <c r="D27" s="56" t="n">
        <v>0</v>
      </c>
      <c r="E27" s="57">
        <f>IFERROR(D27/$O$26,"-")</f>
        <v/>
      </c>
      <c r="F27" s="225" t="inlineStr">
        <is>
          <t>Núm. alumnat experiència relacionada amb el cicle</t>
        </is>
      </c>
      <c r="J27" s="56" t="n">
        <v>0</v>
      </c>
      <c r="K27" s="57">
        <f>IFERROR(J27/$O$26,"-")</f>
        <v/>
      </c>
      <c r="M27" s="226" t="inlineStr">
        <is>
          <t>Núm. baixes confirmades</t>
        </is>
      </c>
      <c r="N27" s="395" t="n"/>
      <c r="O27" s="54">
        <f>COUNTIFS($D$36:$D$75,"Baixa")</f>
        <v/>
      </c>
      <c r="P27" s="58">
        <f>IFERROR(O27/$O$26,"-")</f>
        <v/>
      </c>
    </row>
    <row r="28" ht="15" customFormat="1" customHeight="1" s="51">
      <c r="B28" s="224" t="inlineStr">
        <is>
          <t>Núm. alumnat batxillerat</t>
        </is>
      </c>
      <c r="D28" s="56" t="n">
        <v>0</v>
      </c>
      <c r="E28" s="57">
        <f>IFERROR(D28/$O$26,"-")</f>
        <v/>
      </c>
      <c r="F28" s="225" t="inlineStr">
        <is>
          <t>Núm. alumnat experiència una altra família professional</t>
        </is>
      </c>
      <c r="J28" s="56" t="n">
        <v>0</v>
      </c>
      <c r="K28" s="57">
        <f>IFERROR(J28/$O$26,"-")</f>
        <v/>
      </c>
      <c r="M28" s="226" t="inlineStr">
        <is>
          <t>Total alumnat absentista</t>
        </is>
      </c>
      <c r="N28" s="395" t="n"/>
      <c r="O28" s="56" t="n">
        <v>0</v>
      </c>
      <c r="P28" s="57">
        <f>IFERROR(O28/$O$26,"-")</f>
        <v/>
      </c>
    </row>
    <row r="29" ht="15" customFormat="1" customHeight="1" s="51" thickBot="1">
      <c r="B29" s="224" t="inlineStr">
        <is>
          <t>Núm. alumnat Proves d'accés</t>
        </is>
      </c>
      <c r="D29" s="56" t="n">
        <v>0</v>
      </c>
      <c r="E29" s="57">
        <f>IFERROR(D29/$O$26,"-")</f>
        <v/>
      </c>
      <c r="F29" s="225" t="inlineStr">
        <is>
          <t>Núm. alumnat sense experiència professional</t>
        </is>
      </c>
      <c r="J29" s="59" t="n">
        <v>0</v>
      </c>
      <c r="K29" s="60">
        <f>IFERROR(J29/$O$26,"-")</f>
        <v/>
      </c>
      <c r="M29" s="226" t="inlineStr">
        <is>
          <t>Total alumnat NESE</t>
        </is>
      </c>
      <c r="N29" s="395" t="n"/>
      <c r="O29" s="54">
        <f>COUNTIFS($C$36:$C$75,"&lt;&gt;",$D$36:$D$75,"&lt;&gt;Baixa",$K$36:$K$75,"Sí")</f>
        <v/>
      </c>
      <c r="P29" s="57">
        <f>IFERROR(O29/$O$26,"-")</f>
        <v/>
      </c>
    </row>
    <row r="30" ht="15" customFormat="1" customHeight="1" s="51" thickBot="1">
      <c r="B30" s="224" t="inlineStr">
        <is>
          <t>Núm. alumnat altres titulacions</t>
        </is>
      </c>
      <c r="D30" s="59" t="n">
        <v>0</v>
      </c>
      <c r="E30" s="60">
        <f>IFERROR(D30/$O$26,"-")</f>
        <v/>
      </c>
      <c r="F30" s="52" t="n"/>
      <c r="G30" s="52" t="n"/>
      <c r="H30" s="52" t="n"/>
      <c r="I30" s="52" t="n"/>
      <c r="J30" s="229" t="inlineStr">
        <is>
          <t>No coincideix amb el total del grup</t>
        </is>
      </c>
      <c r="K30" s="386" t="n"/>
      <c r="L30" s="52" t="n"/>
      <c r="M30" s="226" t="inlineStr">
        <is>
          <t>Total alumnat amb pendents</t>
        </is>
      </c>
      <c r="N30" s="395" t="n"/>
      <c r="O30" s="54">
        <f>COUNTIFS($C$36:$C$75,"&lt;&gt;",$D$36:$D$75,"&lt;&gt;Baixa",$I$36:$I$75,"Sí")</f>
        <v/>
      </c>
      <c r="P30" s="57">
        <f>IFERROR(O30/$O$26,"-")</f>
        <v/>
      </c>
    </row>
    <row r="31" ht="15" customHeight="1" thickBot="1">
      <c r="B31" s="47" t="n"/>
      <c r="C31" s="47" t="n"/>
      <c r="D31" s="229" t="inlineStr">
        <is>
          <t>No coincideix amb el total del grup</t>
        </is>
      </c>
      <c r="E31" s="386" t="n"/>
      <c r="F31" s="47" t="n"/>
      <c r="G31" s="47" t="n"/>
      <c r="H31" s="47" t="n"/>
      <c r="I31" s="47" t="n"/>
      <c r="J31" s="47" t="n"/>
      <c r="K31" s="47" t="n"/>
      <c r="L31" s="47" t="n"/>
      <c r="M31" s="226" t="inlineStr">
        <is>
          <t>Total alumnat repetidor</t>
        </is>
      </c>
      <c r="N31" s="395" t="n"/>
      <c r="O31" s="61">
        <f>COUNTIFS($C$36:$C$75,"&lt;&gt;",$D$36:$D$75,"&lt;&gt;Baixa",$J$36:$J$75,"Sí")</f>
        <v/>
      </c>
      <c r="P31" s="60">
        <f>IFERROR(O31/$O$26,"-")</f>
        <v/>
      </c>
    </row>
    <row r="32" ht="27" customHeight="1"/>
    <row r="33" ht="21" customFormat="1" customHeight="1" s="46">
      <c r="B33" s="391" t="inlineStr">
        <is>
          <t>4- Anàlisi individual de l'alumnat</t>
        </is>
      </c>
      <c r="C33" s="392" t="n"/>
      <c r="D33" s="392" t="n"/>
      <c r="E33" s="392" t="n"/>
      <c r="F33" s="392" t="n"/>
      <c r="G33" s="392" t="n"/>
      <c r="H33" s="392" t="n"/>
      <c r="I33" s="392" t="n"/>
      <c r="J33" s="392" t="n"/>
      <c r="K33" s="392" t="n"/>
      <c r="L33" s="392" t="n"/>
      <c r="M33" s="392" t="n"/>
      <c r="N33" s="392" t="n"/>
      <c r="O33" s="392" t="n"/>
      <c r="P33" s="393" t="n"/>
    </row>
    <row r="34">
      <c r="C34" s="50" t="n"/>
      <c r="I34" s="51" t="n"/>
      <c r="J34" s="51" t="n"/>
      <c r="K34" s="51" t="n"/>
      <c r="L34" s="51" t="n"/>
      <c r="M34" s="51" t="n"/>
    </row>
    <row r="35" ht="27" customFormat="1" customHeight="1" s="62">
      <c r="B35" s="63" t="inlineStr">
        <is>
          <t>NIA</t>
        </is>
      </c>
      <c r="C35" s="63" t="inlineStr">
        <is>
          <t>Alumne/a</t>
        </is>
      </c>
      <c r="D35" s="251" t="inlineStr">
        <is>
          <t>Estat 1rT</t>
        </is>
      </c>
      <c r="E35" s="65" t="inlineStr">
        <is>
          <t>NUSS</t>
        </is>
      </c>
      <c r="F35" s="65" t="inlineStr">
        <is>
          <t>Certif. digital</t>
        </is>
      </c>
      <c r="G35" s="65" t="inlineStr">
        <is>
          <t>Autorització imatges</t>
        </is>
      </c>
      <c r="H35" s="65" t="inlineStr">
        <is>
          <t>Alerta sanitària</t>
        </is>
      </c>
      <c r="I35" s="65" t="inlineStr">
        <is>
          <t>Pendents</t>
        </is>
      </c>
      <c r="J35" s="65" t="inlineStr">
        <is>
          <t>Repetidor/a</t>
        </is>
      </c>
      <c r="K35" s="65" t="inlineStr">
        <is>
          <t>NESE</t>
        </is>
      </c>
      <c r="L35" s="65" t="inlineStr">
        <is>
          <t>Situació familiar</t>
        </is>
      </c>
      <c r="M35" s="231" t="inlineStr">
        <is>
          <t>Observacions - Seguiment individual - Mesures d'inclusió - Pla recuperació Convalidacions - Exempcions</t>
        </is>
      </c>
      <c r="N35" s="387" t="n"/>
      <c r="O35" s="387" t="n"/>
      <c r="P35" s="387" t="n"/>
    </row>
    <row r="36" ht="33" customHeight="1">
      <c r="A36" s="215" t="n">
        <v>1</v>
      </c>
      <c r="B36" s="63" t="n"/>
      <c r="C36" s="66" t="n"/>
      <c r="D36" s="63" t="n"/>
      <c r="E36" s="67" t="n"/>
      <c r="F36" s="68" t="inlineStr">
        <is>
          <t>Sí</t>
        </is>
      </c>
      <c r="G36" s="68" t="inlineStr">
        <is>
          <t>Sí</t>
        </is>
      </c>
      <c r="H36" s="68" t="inlineStr">
        <is>
          <t>No</t>
        </is>
      </c>
      <c r="I36" s="68" t="inlineStr">
        <is>
          <t>No</t>
        </is>
      </c>
      <c r="J36" s="68" t="inlineStr">
        <is>
          <t>No</t>
        </is>
      </c>
      <c r="K36" s="68" t="inlineStr">
        <is>
          <t>No</t>
        </is>
      </c>
      <c r="L36" s="68" t="n"/>
      <c r="M36" s="227" t="n"/>
      <c r="N36" s="387" t="n"/>
      <c r="O36" s="387" t="n"/>
      <c r="P36" s="387" t="n"/>
    </row>
    <row r="37" ht="33" customHeight="1">
      <c r="A37" s="215" t="n">
        <v>2</v>
      </c>
      <c r="B37" s="63" t="n"/>
      <c r="C37" s="66" t="n"/>
      <c r="D37" s="63" t="n"/>
      <c r="E37" s="67" t="n"/>
      <c r="F37" s="68" t="inlineStr">
        <is>
          <t>Sí</t>
        </is>
      </c>
      <c r="G37" s="68" t="inlineStr">
        <is>
          <t>Sí</t>
        </is>
      </c>
      <c r="H37" s="68" t="inlineStr">
        <is>
          <t>No</t>
        </is>
      </c>
      <c r="I37" s="68" t="inlineStr">
        <is>
          <t>No</t>
        </is>
      </c>
      <c r="J37" s="68" t="inlineStr">
        <is>
          <t>No</t>
        </is>
      </c>
      <c r="K37" s="68" t="inlineStr">
        <is>
          <t>No</t>
        </is>
      </c>
      <c r="L37" s="68" t="n"/>
      <c r="M37" s="227" t="n"/>
      <c r="N37" s="387" t="n"/>
      <c r="O37" s="387" t="n"/>
      <c r="P37" s="387" t="n"/>
    </row>
    <row r="38" ht="33" customHeight="1">
      <c r="A38" s="215" t="n">
        <v>3</v>
      </c>
      <c r="B38" s="63" t="n"/>
      <c r="C38" s="66" t="n"/>
      <c r="D38" s="63" t="n"/>
      <c r="E38" s="67" t="n"/>
      <c r="F38" s="68" t="inlineStr">
        <is>
          <t>Sí</t>
        </is>
      </c>
      <c r="G38" s="68" t="inlineStr">
        <is>
          <t>Sí</t>
        </is>
      </c>
      <c r="H38" s="68" t="inlineStr">
        <is>
          <t>No</t>
        </is>
      </c>
      <c r="I38" s="68" t="inlineStr">
        <is>
          <t>No</t>
        </is>
      </c>
      <c r="J38" s="68" t="inlineStr">
        <is>
          <t>No</t>
        </is>
      </c>
      <c r="K38" s="68" t="inlineStr">
        <is>
          <t>No</t>
        </is>
      </c>
      <c r="L38" s="68" t="n"/>
      <c r="M38" s="227" t="n"/>
      <c r="N38" s="387" t="n"/>
      <c r="O38" s="387" t="n"/>
      <c r="P38" s="387" t="n"/>
    </row>
    <row r="39" ht="33" customHeight="1">
      <c r="A39" s="215" t="n">
        <v>4</v>
      </c>
      <c r="B39" s="63" t="n"/>
      <c r="C39" s="66" t="n"/>
      <c r="D39" s="63" t="n"/>
      <c r="E39" s="67" t="n"/>
      <c r="F39" s="68" t="inlineStr">
        <is>
          <t>Sí</t>
        </is>
      </c>
      <c r="G39" s="68" t="inlineStr">
        <is>
          <t>Sí</t>
        </is>
      </c>
      <c r="H39" s="68" t="inlineStr">
        <is>
          <t>No</t>
        </is>
      </c>
      <c r="I39" s="68" t="inlineStr">
        <is>
          <t>No</t>
        </is>
      </c>
      <c r="J39" s="68" t="inlineStr">
        <is>
          <t>No</t>
        </is>
      </c>
      <c r="K39" s="68" t="inlineStr">
        <is>
          <t>No</t>
        </is>
      </c>
      <c r="L39" s="68" t="n"/>
      <c r="M39" s="227" t="n"/>
      <c r="N39" s="387" t="n"/>
      <c r="O39" s="387" t="n"/>
      <c r="P39" s="387" t="n"/>
    </row>
    <row r="40" ht="33" customHeight="1">
      <c r="A40" s="215" t="n">
        <v>5</v>
      </c>
      <c r="B40" s="63" t="n"/>
      <c r="C40" s="66" t="n"/>
      <c r="D40" s="63" t="n"/>
      <c r="E40" s="67" t="n"/>
      <c r="F40" s="68" t="inlineStr">
        <is>
          <t>Sí</t>
        </is>
      </c>
      <c r="G40" s="68" t="inlineStr">
        <is>
          <t>Sí</t>
        </is>
      </c>
      <c r="H40" s="68" t="inlineStr">
        <is>
          <t>No</t>
        </is>
      </c>
      <c r="I40" s="68" t="inlineStr">
        <is>
          <t>No</t>
        </is>
      </c>
      <c r="J40" s="68" t="inlineStr">
        <is>
          <t>No</t>
        </is>
      </c>
      <c r="K40" s="68" t="inlineStr">
        <is>
          <t>No</t>
        </is>
      </c>
      <c r="L40" s="68" t="n"/>
      <c r="M40" s="227" t="n"/>
      <c r="N40" s="387" t="n"/>
      <c r="O40" s="387" t="n"/>
      <c r="P40" s="387" t="n"/>
    </row>
    <row r="41" ht="33" customHeight="1">
      <c r="A41" s="215" t="n">
        <v>6</v>
      </c>
      <c r="B41" s="63" t="n"/>
      <c r="C41" s="66" t="n"/>
      <c r="D41" s="63" t="n"/>
      <c r="E41" s="67" t="n"/>
      <c r="F41" s="68" t="inlineStr">
        <is>
          <t>Sí</t>
        </is>
      </c>
      <c r="G41" s="68" t="inlineStr">
        <is>
          <t>Sí</t>
        </is>
      </c>
      <c r="H41" s="68" t="inlineStr">
        <is>
          <t>No</t>
        </is>
      </c>
      <c r="I41" s="68" t="inlineStr">
        <is>
          <t>No</t>
        </is>
      </c>
      <c r="J41" s="68" t="inlineStr">
        <is>
          <t>No</t>
        </is>
      </c>
      <c r="K41" s="68" t="inlineStr">
        <is>
          <t>No</t>
        </is>
      </c>
      <c r="L41" s="68" t="n"/>
      <c r="M41" s="227" t="n"/>
      <c r="N41" s="387" t="n"/>
      <c r="O41" s="387" t="n"/>
      <c r="P41" s="387" t="n"/>
    </row>
    <row r="42" ht="33" customHeight="1">
      <c r="A42" s="215" t="n">
        <v>7</v>
      </c>
      <c r="B42" s="63" t="n"/>
      <c r="C42" s="66" t="n"/>
      <c r="D42" s="63" t="n"/>
      <c r="E42" s="67" t="n"/>
      <c r="F42" s="68" t="inlineStr">
        <is>
          <t>Sí</t>
        </is>
      </c>
      <c r="G42" s="68" t="inlineStr">
        <is>
          <t>Sí</t>
        </is>
      </c>
      <c r="H42" s="68" t="inlineStr">
        <is>
          <t>No</t>
        </is>
      </c>
      <c r="I42" s="68" t="inlineStr">
        <is>
          <t>No</t>
        </is>
      </c>
      <c r="J42" s="68" t="inlineStr">
        <is>
          <t>No</t>
        </is>
      </c>
      <c r="K42" s="68" t="inlineStr">
        <is>
          <t>No</t>
        </is>
      </c>
      <c r="L42" s="68" t="n"/>
      <c r="M42" s="227" t="n"/>
      <c r="N42" s="387" t="n"/>
      <c r="O42" s="387" t="n"/>
      <c r="P42" s="387" t="n"/>
    </row>
    <row r="43" ht="33" customHeight="1">
      <c r="A43" s="215" t="n">
        <v>8</v>
      </c>
      <c r="B43" s="63" t="n"/>
      <c r="C43" s="66" t="n"/>
      <c r="D43" s="63" t="n"/>
      <c r="E43" s="67" t="n"/>
      <c r="F43" s="68" t="inlineStr">
        <is>
          <t>Sí</t>
        </is>
      </c>
      <c r="G43" s="68" t="inlineStr">
        <is>
          <t>Sí</t>
        </is>
      </c>
      <c r="H43" s="68" t="inlineStr">
        <is>
          <t>No</t>
        </is>
      </c>
      <c r="I43" s="68" t="inlineStr">
        <is>
          <t>No</t>
        </is>
      </c>
      <c r="J43" s="68" t="inlineStr">
        <is>
          <t>No</t>
        </is>
      </c>
      <c r="K43" s="68" t="inlineStr">
        <is>
          <t>No</t>
        </is>
      </c>
      <c r="L43" s="68" t="n"/>
      <c r="M43" s="227" t="n"/>
      <c r="N43" s="387" t="n"/>
      <c r="O43" s="387" t="n"/>
      <c r="P43" s="387" t="n"/>
    </row>
    <row r="44" ht="33" customHeight="1">
      <c r="A44" s="215" t="n">
        <v>9</v>
      </c>
      <c r="B44" s="63" t="n"/>
      <c r="C44" s="66" t="n"/>
      <c r="D44" s="63" t="n"/>
      <c r="E44" s="67" t="n"/>
      <c r="F44" s="68" t="inlineStr">
        <is>
          <t>Sí</t>
        </is>
      </c>
      <c r="G44" s="68" t="inlineStr">
        <is>
          <t>Sí</t>
        </is>
      </c>
      <c r="H44" s="68" t="inlineStr">
        <is>
          <t>No</t>
        </is>
      </c>
      <c r="I44" s="68" t="inlineStr">
        <is>
          <t>No</t>
        </is>
      </c>
      <c r="J44" s="68" t="inlineStr">
        <is>
          <t>No</t>
        </is>
      </c>
      <c r="K44" s="68" t="inlineStr">
        <is>
          <t>No</t>
        </is>
      </c>
      <c r="L44" s="68" t="n"/>
      <c r="M44" s="227" t="n"/>
      <c r="N44" s="387" t="n"/>
      <c r="O44" s="387" t="n"/>
      <c r="P44" s="387" t="n"/>
    </row>
    <row r="45" ht="33" customHeight="1">
      <c r="A45" s="215" t="n">
        <v>10</v>
      </c>
      <c r="B45" s="63" t="n"/>
      <c r="C45" s="66" t="n"/>
      <c r="D45" s="63" t="n"/>
      <c r="E45" s="67" t="n"/>
      <c r="F45" s="68" t="inlineStr">
        <is>
          <t>Sí</t>
        </is>
      </c>
      <c r="G45" s="68" t="inlineStr">
        <is>
          <t>Sí</t>
        </is>
      </c>
      <c r="H45" s="68" t="inlineStr">
        <is>
          <t>No</t>
        </is>
      </c>
      <c r="I45" s="68" t="inlineStr">
        <is>
          <t>No</t>
        </is>
      </c>
      <c r="J45" s="68" t="inlineStr">
        <is>
          <t>No</t>
        </is>
      </c>
      <c r="K45" s="68" t="inlineStr">
        <is>
          <t>No</t>
        </is>
      </c>
      <c r="L45" s="68" t="n"/>
      <c r="M45" s="227" t="n"/>
      <c r="N45" s="387" t="n"/>
      <c r="O45" s="387" t="n"/>
      <c r="P45" s="387" t="n"/>
    </row>
    <row r="46" ht="33" customHeight="1">
      <c r="A46" s="215" t="n">
        <v>11</v>
      </c>
      <c r="B46" s="63" t="n"/>
      <c r="C46" s="66" t="n"/>
      <c r="D46" s="63" t="n"/>
      <c r="E46" s="67" t="n"/>
      <c r="F46" s="68" t="inlineStr">
        <is>
          <t>Sí</t>
        </is>
      </c>
      <c r="G46" s="68" t="inlineStr">
        <is>
          <t>Sí</t>
        </is>
      </c>
      <c r="H46" s="68" t="inlineStr">
        <is>
          <t>No</t>
        </is>
      </c>
      <c r="I46" s="68" t="inlineStr">
        <is>
          <t>No</t>
        </is>
      </c>
      <c r="J46" s="68" t="inlineStr">
        <is>
          <t>No</t>
        </is>
      </c>
      <c r="K46" s="68" t="inlineStr">
        <is>
          <t>No</t>
        </is>
      </c>
      <c r="L46" s="68" t="n"/>
      <c r="M46" s="227" t="n"/>
      <c r="N46" s="387" t="n"/>
      <c r="O46" s="387" t="n"/>
      <c r="P46" s="387" t="n"/>
    </row>
    <row r="47" ht="33" customHeight="1">
      <c r="A47" s="215" t="n">
        <v>12</v>
      </c>
      <c r="B47" s="63" t="n"/>
      <c r="C47" s="66" t="n"/>
      <c r="D47" s="63" t="n"/>
      <c r="E47" s="67" t="n"/>
      <c r="F47" s="68" t="inlineStr">
        <is>
          <t>Sí</t>
        </is>
      </c>
      <c r="G47" s="68" t="inlineStr">
        <is>
          <t>Sí</t>
        </is>
      </c>
      <c r="H47" s="68" t="inlineStr">
        <is>
          <t>No</t>
        </is>
      </c>
      <c r="I47" s="68" t="inlineStr">
        <is>
          <t>No</t>
        </is>
      </c>
      <c r="J47" s="68" t="inlineStr">
        <is>
          <t>No</t>
        </is>
      </c>
      <c r="K47" s="68" t="inlineStr">
        <is>
          <t>No</t>
        </is>
      </c>
      <c r="L47" s="68" t="n"/>
      <c r="M47" s="227" t="n"/>
      <c r="N47" s="387" t="n"/>
      <c r="O47" s="387" t="n"/>
      <c r="P47" s="387" t="n"/>
    </row>
    <row r="48" ht="33" customHeight="1">
      <c r="A48" s="215" t="n">
        <v>13</v>
      </c>
      <c r="B48" s="63" t="n"/>
      <c r="C48" s="66" t="n"/>
      <c r="D48" s="63" t="n"/>
      <c r="E48" s="67" t="n"/>
      <c r="F48" s="68" t="inlineStr">
        <is>
          <t>Sí</t>
        </is>
      </c>
      <c r="G48" s="68" t="inlineStr">
        <is>
          <t>Sí</t>
        </is>
      </c>
      <c r="H48" s="68" t="inlineStr">
        <is>
          <t>No</t>
        </is>
      </c>
      <c r="I48" s="68" t="inlineStr">
        <is>
          <t>No</t>
        </is>
      </c>
      <c r="J48" s="68" t="inlineStr">
        <is>
          <t>No</t>
        </is>
      </c>
      <c r="K48" s="68" t="inlineStr">
        <is>
          <t>No</t>
        </is>
      </c>
      <c r="L48" s="68" t="n"/>
      <c r="M48" s="227" t="n"/>
      <c r="N48" s="387" t="n"/>
      <c r="O48" s="387" t="n"/>
      <c r="P48" s="387" t="n"/>
    </row>
    <row r="49" ht="33" customHeight="1">
      <c r="A49" s="215" t="n">
        <v>14</v>
      </c>
      <c r="B49" s="63" t="n"/>
      <c r="C49" s="66" t="n"/>
      <c r="D49" s="63" t="n"/>
      <c r="E49" s="67" t="n"/>
      <c r="F49" s="68" t="inlineStr">
        <is>
          <t>Sí</t>
        </is>
      </c>
      <c r="G49" s="68" t="inlineStr">
        <is>
          <t>Sí</t>
        </is>
      </c>
      <c r="H49" s="68" t="inlineStr">
        <is>
          <t>No</t>
        </is>
      </c>
      <c r="I49" s="68" t="inlineStr">
        <is>
          <t>No</t>
        </is>
      </c>
      <c r="J49" s="68" t="inlineStr">
        <is>
          <t>No</t>
        </is>
      </c>
      <c r="K49" s="68" t="inlineStr">
        <is>
          <t>No</t>
        </is>
      </c>
      <c r="L49" s="68" t="n"/>
      <c r="M49" s="227" t="n"/>
      <c r="N49" s="387" t="n"/>
      <c r="O49" s="387" t="n"/>
      <c r="P49" s="387" t="n"/>
    </row>
    <row r="50" ht="33" customHeight="1">
      <c r="A50" s="215" t="n">
        <v>15</v>
      </c>
      <c r="B50" s="63" t="n"/>
      <c r="C50" s="66" t="n"/>
      <c r="D50" s="63" t="n"/>
      <c r="E50" s="67" t="n"/>
      <c r="F50" s="68" t="inlineStr">
        <is>
          <t>Sí</t>
        </is>
      </c>
      <c r="G50" s="68" t="inlineStr">
        <is>
          <t>Sí</t>
        </is>
      </c>
      <c r="H50" s="68" t="inlineStr">
        <is>
          <t>No</t>
        </is>
      </c>
      <c r="I50" s="68" t="inlineStr">
        <is>
          <t>No</t>
        </is>
      </c>
      <c r="J50" s="68" t="inlineStr">
        <is>
          <t>No</t>
        </is>
      </c>
      <c r="K50" s="68" t="inlineStr">
        <is>
          <t>No</t>
        </is>
      </c>
      <c r="L50" s="68" t="n"/>
      <c r="M50" s="227" t="n"/>
      <c r="N50" s="387" t="n"/>
      <c r="O50" s="387" t="n"/>
      <c r="P50" s="387" t="n"/>
    </row>
    <row r="51" ht="33" customHeight="1">
      <c r="A51" s="215" t="n">
        <v>16</v>
      </c>
      <c r="B51" s="63" t="n"/>
      <c r="C51" s="66" t="n"/>
      <c r="D51" s="63" t="n"/>
      <c r="E51" s="67" t="n"/>
      <c r="F51" s="68" t="inlineStr">
        <is>
          <t>Sí</t>
        </is>
      </c>
      <c r="G51" s="68" t="inlineStr">
        <is>
          <t>Sí</t>
        </is>
      </c>
      <c r="H51" s="68" t="inlineStr">
        <is>
          <t>No</t>
        </is>
      </c>
      <c r="I51" s="68" t="inlineStr">
        <is>
          <t>No</t>
        </is>
      </c>
      <c r="J51" s="68" t="inlineStr">
        <is>
          <t>No</t>
        </is>
      </c>
      <c r="K51" s="68" t="inlineStr">
        <is>
          <t>No</t>
        </is>
      </c>
      <c r="L51" s="68" t="n"/>
      <c r="M51" s="227" t="n"/>
      <c r="N51" s="387" t="n"/>
      <c r="O51" s="387" t="n"/>
      <c r="P51" s="387" t="n"/>
    </row>
    <row r="52" ht="33" customHeight="1">
      <c r="A52" s="215" t="n">
        <v>17</v>
      </c>
      <c r="B52" s="63" t="n"/>
      <c r="C52" s="66" t="n"/>
      <c r="D52" s="63" t="n"/>
      <c r="E52" s="67" t="n"/>
      <c r="F52" s="68" t="inlineStr">
        <is>
          <t>Sí</t>
        </is>
      </c>
      <c r="G52" s="68" t="inlineStr">
        <is>
          <t>Sí</t>
        </is>
      </c>
      <c r="H52" s="68" t="inlineStr">
        <is>
          <t>No</t>
        </is>
      </c>
      <c r="I52" s="68" t="inlineStr">
        <is>
          <t>No</t>
        </is>
      </c>
      <c r="J52" s="68" t="inlineStr">
        <is>
          <t>No</t>
        </is>
      </c>
      <c r="K52" s="68" t="inlineStr">
        <is>
          <t>No</t>
        </is>
      </c>
      <c r="L52" s="68" t="n"/>
      <c r="M52" s="227" t="n"/>
      <c r="N52" s="387" t="n"/>
      <c r="O52" s="387" t="n"/>
      <c r="P52" s="387" t="n"/>
    </row>
    <row r="53" ht="33" customHeight="1">
      <c r="A53" s="215" t="n">
        <v>18</v>
      </c>
      <c r="B53" s="63" t="n"/>
      <c r="C53" s="66" t="n"/>
      <c r="D53" s="63" t="n"/>
      <c r="E53" s="67" t="n"/>
      <c r="F53" s="68" t="inlineStr">
        <is>
          <t>Sí</t>
        </is>
      </c>
      <c r="G53" s="68" t="inlineStr">
        <is>
          <t>Sí</t>
        </is>
      </c>
      <c r="H53" s="68" t="inlineStr">
        <is>
          <t>No</t>
        </is>
      </c>
      <c r="I53" s="68" t="inlineStr">
        <is>
          <t>No</t>
        </is>
      </c>
      <c r="J53" s="68" t="inlineStr">
        <is>
          <t>No</t>
        </is>
      </c>
      <c r="K53" s="68" t="inlineStr">
        <is>
          <t>No</t>
        </is>
      </c>
      <c r="L53" s="68" t="n"/>
      <c r="M53" s="227" t="n"/>
      <c r="N53" s="387" t="n"/>
      <c r="O53" s="387" t="n"/>
      <c r="P53" s="387" t="n"/>
    </row>
    <row r="54" ht="33" customHeight="1">
      <c r="A54" s="215" t="n">
        <v>19</v>
      </c>
      <c r="B54" s="63" t="n"/>
      <c r="C54" s="66" t="n"/>
      <c r="D54" s="63" t="n"/>
      <c r="E54" s="67" t="n"/>
      <c r="F54" s="68" t="inlineStr">
        <is>
          <t>Sí</t>
        </is>
      </c>
      <c r="G54" s="68" t="inlineStr">
        <is>
          <t>Sí</t>
        </is>
      </c>
      <c r="H54" s="68" t="inlineStr">
        <is>
          <t>No</t>
        </is>
      </c>
      <c r="I54" s="68" t="inlineStr">
        <is>
          <t>No</t>
        </is>
      </c>
      <c r="J54" s="68" t="inlineStr">
        <is>
          <t>No</t>
        </is>
      </c>
      <c r="K54" s="68" t="inlineStr">
        <is>
          <t>No</t>
        </is>
      </c>
      <c r="L54" s="68" t="n"/>
      <c r="M54" s="227" t="n"/>
      <c r="N54" s="387" t="n"/>
      <c r="O54" s="387" t="n"/>
      <c r="P54" s="387" t="n"/>
    </row>
    <row r="55" ht="33" customHeight="1">
      <c r="A55" s="215" t="n">
        <v>20</v>
      </c>
      <c r="B55" s="63" t="n"/>
      <c r="C55" s="66" t="n"/>
      <c r="D55" s="63" t="n"/>
      <c r="E55" s="67" t="n"/>
      <c r="F55" s="68" t="inlineStr">
        <is>
          <t>Sí</t>
        </is>
      </c>
      <c r="G55" s="68" t="inlineStr">
        <is>
          <t>Sí</t>
        </is>
      </c>
      <c r="H55" s="68" t="inlineStr">
        <is>
          <t>No</t>
        </is>
      </c>
      <c r="I55" s="68" t="inlineStr">
        <is>
          <t>No</t>
        </is>
      </c>
      <c r="J55" s="68" t="inlineStr">
        <is>
          <t>No</t>
        </is>
      </c>
      <c r="K55" s="68" t="inlineStr">
        <is>
          <t>No</t>
        </is>
      </c>
      <c r="L55" s="68" t="n"/>
      <c r="M55" s="227" t="n"/>
      <c r="N55" s="387" t="n"/>
      <c r="O55" s="387" t="n"/>
      <c r="P55" s="387" t="n"/>
    </row>
    <row r="56" ht="33" customHeight="1">
      <c r="A56" s="215" t="n">
        <v>21</v>
      </c>
      <c r="B56" s="63" t="n"/>
      <c r="C56" s="66" t="n"/>
      <c r="D56" s="63" t="n"/>
      <c r="E56" s="67" t="n"/>
      <c r="F56" s="68" t="inlineStr">
        <is>
          <t>Sí</t>
        </is>
      </c>
      <c r="G56" s="68" t="inlineStr">
        <is>
          <t>Sí</t>
        </is>
      </c>
      <c r="H56" s="68" t="inlineStr">
        <is>
          <t>No</t>
        </is>
      </c>
      <c r="I56" s="68" t="inlineStr">
        <is>
          <t>No</t>
        </is>
      </c>
      <c r="J56" s="68" t="inlineStr">
        <is>
          <t>No</t>
        </is>
      </c>
      <c r="K56" s="68" t="inlineStr">
        <is>
          <t>No</t>
        </is>
      </c>
      <c r="L56" s="68" t="n"/>
      <c r="M56" s="227" t="n"/>
      <c r="N56" s="387" t="n"/>
      <c r="O56" s="387" t="n"/>
      <c r="P56" s="387" t="n"/>
    </row>
    <row r="57" ht="33" customHeight="1">
      <c r="A57" s="215" t="n">
        <v>22</v>
      </c>
      <c r="B57" s="63" t="n"/>
      <c r="C57" s="66" t="n"/>
      <c r="D57" s="63" t="n"/>
      <c r="E57" s="67" t="n"/>
      <c r="F57" s="68" t="inlineStr">
        <is>
          <t>Sí</t>
        </is>
      </c>
      <c r="G57" s="68" t="inlineStr">
        <is>
          <t>Sí</t>
        </is>
      </c>
      <c r="H57" s="68" t="inlineStr">
        <is>
          <t>No</t>
        </is>
      </c>
      <c r="I57" s="68" t="inlineStr">
        <is>
          <t>No</t>
        </is>
      </c>
      <c r="J57" s="68" t="inlineStr">
        <is>
          <t>No</t>
        </is>
      </c>
      <c r="K57" s="68" t="inlineStr">
        <is>
          <t>No</t>
        </is>
      </c>
      <c r="L57" s="68" t="n"/>
      <c r="M57" s="227" t="n"/>
      <c r="N57" s="387" t="n"/>
      <c r="O57" s="387" t="n"/>
      <c r="P57" s="387" t="n"/>
    </row>
    <row r="58" ht="33" customHeight="1">
      <c r="A58" s="215" t="n">
        <v>23</v>
      </c>
      <c r="B58" s="63" t="n"/>
      <c r="C58" s="66" t="n"/>
      <c r="D58" s="63" t="n"/>
      <c r="E58" s="67" t="n"/>
      <c r="F58" s="68" t="inlineStr">
        <is>
          <t>Sí</t>
        </is>
      </c>
      <c r="G58" s="68" t="inlineStr">
        <is>
          <t>Sí</t>
        </is>
      </c>
      <c r="H58" s="68" t="inlineStr">
        <is>
          <t>No</t>
        </is>
      </c>
      <c r="I58" s="68" t="inlineStr">
        <is>
          <t>No</t>
        </is>
      </c>
      <c r="J58" s="68" t="inlineStr">
        <is>
          <t>No</t>
        </is>
      </c>
      <c r="K58" s="68" t="inlineStr">
        <is>
          <t>No</t>
        </is>
      </c>
      <c r="L58" s="68" t="n"/>
      <c r="M58" s="227" t="n"/>
      <c r="N58" s="387" t="n"/>
      <c r="O58" s="387" t="n"/>
      <c r="P58" s="387" t="n"/>
    </row>
    <row r="59" ht="33" customHeight="1">
      <c r="A59" s="215" t="n">
        <v>24</v>
      </c>
      <c r="B59" s="63" t="n"/>
      <c r="C59" s="66" t="n"/>
      <c r="D59" s="63" t="n"/>
      <c r="E59" s="67" t="n"/>
      <c r="F59" s="68" t="inlineStr">
        <is>
          <t>Sí</t>
        </is>
      </c>
      <c r="G59" s="68" t="inlineStr">
        <is>
          <t>Sí</t>
        </is>
      </c>
      <c r="H59" s="68" t="inlineStr">
        <is>
          <t>No</t>
        </is>
      </c>
      <c r="I59" s="68" t="inlineStr">
        <is>
          <t>No</t>
        </is>
      </c>
      <c r="J59" s="68" t="inlineStr">
        <is>
          <t>No</t>
        </is>
      </c>
      <c r="K59" s="68" t="inlineStr">
        <is>
          <t>No</t>
        </is>
      </c>
      <c r="L59" s="68" t="n"/>
      <c r="M59" s="227" t="n"/>
      <c r="N59" s="387" t="n"/>
      <c r="O59" s="387" t="n"/>
      <c r="P59" s="387" t="n"/>
    </row>
    <row r="60" ht="33" customHeight="1">
      <c r="A60" s="215" t="n">
        <v>25</v>
      </c>
      <c r="B60" s="63" t="n"/>
      <c r="C60" s="66" t="n"/>
      <c r="D60" s="63" t="n"/>
      <c r="E60" s="67" t="n"/>
      <c r="F60" s="68" t="inlineStr">
        <is>
          <t>Sí</t>
        </is>
      </c>
      <c r="G60" s="68" t="inlineStr">
        <is>
          <t>Sí</t>
        </is>
      </c>
      <c r="H60" s="68" t="inlineStr">
        <is>
          <t>No</t>
        </is>
      </c>
      <c r="I60" s="68" t="inlineStr">
        <is>
          <t>No</t>
        </is>
      </c>
      <c r="J60" s="68" t="inlineStr">
        <is>
          <t>No</t>
        </is>
      </c>
      <c r="K60" s="68" t="inlineStr">
        <is>
          <t>No</t>
        </is>
      </c>
      <c r="L60" s="68" t="n"/>
      <c r="M60" s="227" t="n"/>
      <c r="N60" s="387" t="n"/>
      <c r="O60" s="387" t="n"/>
      <c r="P60" s="387" t="n"/>
    </row>
    <row r="61" ht="33" customHeight="1">
      <c r="A61" s="215" t="n">
        <v>26</v>
      </c>
      <c r="B61" s="63" t="n"/>
      <c r="C61" s="66" t="n"/>
      <c r="D61" s="63" t="n"/>
      <c r="E61" s="67" t="n"/>
      <c r="F61" s="68" t="inlineStr">
        <is>
          <t>Sí</t>
        </is>
      </c>
      <c r="G61" s="68" t="inlineStr">
        <is>
          <t>Sí</t>
        </is>
      </c>
      <c r="H61" s="68" t="inlineStr">
        <is>
          <t>No</t>
        </is>
      </c>
      <c r="I61" s="68" t="inlineStr">
        <is>
          <t>No</t>
        </is>
      </c>
      <c r="J61" s="68" t="inlineStr">
        <is>
          <t>No</t>
        </is>
      </c>
      <c r="K61" s="68" t="inlineStr">
        <is>
          <t>No</t>
        </is>
      </c>
      <c r="L61" s="68" t="n"/>
      <c r="M61" s="227" t="n"/>
      <c r="N61" s="387" t="n"/>
      <c r="O61" s="387" t="n"/>
      <c r="P61" s="387" t="n"/>
    </row>
    <row r="62" ht="33" customHeight="1">
      <c r="A62" s="215" t="n">
        <v>27</v>
      </c>
      <c r="B62" s="63" t="n"/>
      <c r="C62" s="66" t="n"/>
      <c r="D62" s="63" t="n"/>
      <c r="E62" s="67" t="n"/>
      <c r="F62" s="68" t="inlineStr">
        <is>
          <t>Sí</t>
        </is>
      </c>
      <c r="G62" s="68" t="inlineStr">
        <is>
          <t>Sí</t>
        </is>
      </c>
      <c r="H62" s="68" t="inlineStr">
        <is>
          <t>No</t>
        </is>
      </c>
      <c r="I62" s="68" t="inlineStr">
        <is>
          <t>No</t>
        </is>
      </c>
      <c r="J62" s="68" t="inlineStr">
        <is>
          <t>No</t>
        </is>
      </c>
      <c r="K62" s="68" t="inlineStr">
        <is>
          <t>No</t>
        </is>
      </c>
      <c r="L62" s="68" t="n"/>
      <c r="M62" s="227" t="n"/>
      <c r="N62" s="387" t="n"/>
      <c r="O62" s="387" t="n"/>
      <c r="P62" s="387" t="n"/>
    </row>
    <row r="63" ht="33" customHeight="1">
      <c r="A63" s="215" t="n">
        <v>28</v>
      </c>
      <c r="B63" s="63" t="n"/>
      <c r="C63" s="66" t="n"/>
      <c r="D63" s="63" t="n"/>
      <c r="E63" s="67" t="n"/>
      <c r="F63" s="68" t="inlineStr">
        <is>
          <t>Sí</t>
        </is>
      </c>
      <c r="G63" s="68" t="inlineStr">
        <is>
          <t>Sí</t>
        </is>
      </c>
      <c r="H63" s="68" t="inlineStr">
        <is>
          <t>No</t>
        </is>
      </c>
      <c r="I63" s="68" t="inlineStr">
        <is>
          <t>No</t>
        </is>
      </c>
      <c r="J63" s="68" t="inlineStr">
        <is>
          <t>No</t>
        </is>
      </c>
      <c r="K63" s="68" t="inlineStr">
        <is>
          <t>No</t>
        </is>
      </c>
      <c r="L63" s="68" t="n"/>
      <c r="M63" s="227" t="n"/>
      <c r="N63" s="387" t="n"/>
      <c r="O63" s="387" t="n"/>
      <c r="P63" s="387" t="n"/>
    </row>
    <row r="64" ht="33" customHeight="1">
      <c r="A64" s="215" t="n">
        <v>29</v>
      </c>
      <c r="B64" s="63" t="n"/>
      <c r="C64" s="66" t="n"/>
      <c r="D64" s="63" t="n"/>
      <c r="E64" s="67" t="n"/>
      <c r="F64" s="68" t="inlineStr">
        <is>
          <t>Sí</t>
        </is>
      </c>
      <c r="G64" s="68" t="inlineStr">
        <is>
          <t>Sí</t>
        </is>
      </c>
      <c r="H64" s="68" t="inlineStr">
        <is>
          <t>No</t>
        </is>
      </c>
      <c r="I64" s="68" t="inlineStr">
        <is>
          <t>No</t>
        </is>
      </c>
      <c r="J64" s="68" t="inlineStr">
        <is>
          <t>No</t>
        </is>
      </c>
      <c r="K64" s="68" t="inlineStr">
        <is>
          <t>No</t>
        </is>
      </c>
      <c r="L64" s="68" t="n"/>
      <c r="M64" s="227" t="n"/>
      <c r="N64" s="387" t="n"/>
      <c r="O64" s="387" t="n"/>
      <c r="P64" s="387" t="n"/>
    </row>
    <row r="65" ht="33" customHeight="1">
      <c r="A65" s="215" t="n">
        <v>30</v>
      </c>
      <c r="B65" s="63" t="n"/>
      <c r="C65" s="66" t="n"/>
      <c r="D65" s="63" t="n"/>
      <c r="E65" s="67" t="n"/>
      <c r="F65" s="68" t="inlineStr">
        <is>
          <t>Sí</t>
        </is>
      </c>
      <c r="G65" s="68" t="inlineStr">
        <is>
          <t>Sí</t>
        </is>
      </c>
      <c r="H65" s="68" t="inlineStr">
        <is>
          <t>No</t>
        </is>
      </c>
      <c r="I65" s="68" t="inlineStr">
        <is>
          <t>No</t>
        </is>
      </c>
      <c r="J65" s="68" t="inlineStr">
        <is>
          <t>No</t>
        </is>
      </c>
      <c r="K65" s="68" t="inlineStr">
        <is>
          <t>No</t>
        </is>
      </c>
      <c r="L65" s="68" t="n"/>
      <c r="M65" s="227" t="n"/>
      <c r="N65" s="387" t="n"/>
      <c r="O65" s="387" t="n"/>
      <c r="P65" s="387" t="n"/>
    </row>
    <row r="66" ht="33" customHeight="1">
      <c r="A66" s="215" t="n">
        <v>31</v>
      </c>
      <c r="B66" s="63" t="n"/>
      <c r="C66" s="66" t="n"/>
      <c r="D66" s="63" t="n"/>
      <c r="E66" s="67" t="n"/>
      <c r="F66" s="68" t="inlineStr">
        <is>
          <t>Sí</t>
        </is>
      </c>
      <c r="G66" s="68" t="inlineStr">
        <is>
          <t>Sí</t>
        </is>
      </c>
      <c r="H66" s="68" t="inlineStr">
        <is>
          <t>No</t>
        </is>
      </c>
      <c r="I66" s="68" t="inlineStr">
        <is>
          <t>No</t>
        </is>
      </c>
      <c r="J66" s="68" t="inlineStr">
        <is>
          <t>No</t>
        </is>
      </c>
      <c r="K66" s="68" t="inlineStr">
        <is>
          <t>No</t>
        </is>
      </c>
      <c r="L66" s="68" t="n"/>
      <c r="M66" s="227" t="n"/>
      <c r="N66" s="387" t="n"/>
      <c r="O66" s="387" t="n"/>
      <c r="P66" s="387" t="n"/>
    </row>
    <row r="67" ht="33" customHeight="1">
      <c r="A67" s="215" t="n">
        <v>32</v>
      </c>
      <c r="B67" s="63" t="n"/>
      <c r="C67" s="66" t="n"/>
      <c r="D67" s="63" t="n"/>
      <c r="E67" s="67" t="n"/>
      <c r="F67" s="68" t="inlineStr">
        <is>
          <t>Sí</t>
        </is>
      </c>
      <c r="G67" s="68" t="inlineStr">
        <is>
          <t>Sí</t>
        </is>
      </c>
      <c r="H67" s="68" t="inlineStr">
        <is>
          <t>No</t>
        </is>
      </c>
      <c r="I67" s="68" t="inlineStr">
        <is>
          <t>No</t>
        </is>
      </c>
      <c r="J67" s="68" t="inlineStr">
        <is>
          <t>No</t>
        </is>
      </c>
      <c r="K67" s="68" t="inlineStr">
        <is>
          <t>No</t>
        </is>
      </c>
      <c r="L67" s="68" t="n"/>
      <c r="M67" s="227" t="n"/>
      <c r="N67" s="387" t="n"/>
      <c r="O67" s="387" t="n"/>
      <c r="P67" s="387" t="n"/>
    </row>
    <row r="68" ht="33" customHeight="1">
      <c r="A68" s="215" t="n">
        <v>33</v>
      </c>
      <c r="B68" s="63" t="n"/>
      <c r="C68" s="66" t="n"/>
      <c r="D68" s="63" t="n"/>
      <c r="E68" s="67" t="n"/>
      <c r="F68" s="68" t="inlineStr">
        <is>
          <t>Sí</t>
        </is>
      </c>
      <c r="G68" s="68" t="inlineStr">
        <is>
          <t>Sí</t>
        </is>
      </c>
      <c r="H68" s="68" t="inlineStr">
        <is>
          <t>No</t>
        </is>
      </c>
      <c r="I68" s="68" t="inlineStr">
        <is>
          <t>No</t>
        </is>
      </c>
      <c r="J68" s="68" t="inlineStr">
        <is>
          <t>No</t>
        </is>
      </c>
      <c r="K68" s="68" t="inlineStr">
        <is>
          <t>No</t>
        </is>
      </c>
      <c r="L68" s="68" t="n"/>
      <c r="M68" s="227" t="n"/>
      <c r="N68" s="387" t="n"/>
      <c r="O68" s="387" t="n"/>
      <c r="P68" s="387" t="n"/>
    </row>
    <row r="69" ht="33" customHeight="1">
      <c r="A69" s="215" t="n">
        <v>34</v>
      </c>
      <c r="B69" s="63" t="n"/>
      <c r="C69" s="66" t="n"/>
      <c r="D69" s="63" t="n"/>
      <c r="E69" s="67" t="n"/>
      <c r="F69" s="68" t="inlineStr">
        <is>
          <t>Sí</t>
        </is>
      </c>
      <c r="G69" s="68" t="inlineStr">
        <is>
          <t>Sí</t>
        </is>
      </c>
      <c r="H69" s="68" t="inlineStr">
        <is>
          <t>No</t>
        </is>
      </c>
      <c r="I69" s="68" t="inlineStr">
        <is>
          <t>No</t>
        </is>
      </c>
      <c r="J69" s="68" t="inlineStr">
        <is>
          <t>No</t>
        </is>
      </c>
      <c r="K69" s="68" t="inlineStr">
        <is>
          <t>No</t>
        </is>
      </c>
      <c r="L69" s="68" t="n"/>
      <c r="M69" s="227" t="n"/>
      <c r="N69" s="387" t="n"/>
      <c r="O69" s="387" t="n"/>
      <c r="P69" s="387" t="n"/>
    </row>
    <row r="70" ht="33" customHeight="1">
      <c r="A70" s="215" t="n">
        <v>35</v>
      </c>
      <c r="B70" s="63" t="n"/>
      <c r="C70" s="66" t="n"/>
      <c r="D70" s="63" t="n"/>
      <c r="E70" s="67" t="n"/>
      <c r="F70" s="68" t="inlineStr">
        <is>
          <t>Sí</t>
        </is>
      </c>
      <c r="G70" s="68" t="inlineStr">
        <is>
          <t>Sí</t>
        </is>
      </c>
      <c r="H70" s="68" t="inlineStr">
        <is>
          <t>No</t>
        </is>
      </c>
      <c r="I70" s="68" t="inlineStr">
        <is>
          <t>No</t>
        </is>
      </c>
      <c r="J70" s="68" t="inlineStr">
        <is>
          <t>No</t>
        </is>
      </c>
      <c r="K70" s="68" t="inlineStr">
        <is>
          <t>No</t>
        </is>
      </c>
      <c r="L70" s="68" t="n"/>
      <c r="M70" s="227" t="n"/>
      <c r="N70" s="387" t="n"/>
      <c r="O70" s="387" t="n"/>
      <c r="P70" s="387" t="n"/>
    </row>
    <row r="71" ht="33" customHeight="1">
      <c r="A71" s="215" t="n">
        <v>36</v>
      </c>
      <c r="B71" s="63" t="n"/>
      <c r="C71" s="66" t="n"/>
      <c r="D71" s="63" t="n"/>
      <c r="E71" s="67" t="n"/>
      <c r="F71" s="68" t="inlineStr">
        <is>
          <t>Sí</t>
        </is>
      </c>
      <c r="G71" s="68" t="inlineStr">
        <is>
          <t>Sí</t>
        </is>
      </c>
      <c r="H71" s="68" t="inlineStr">
        <is>
          <t>No</t>
        </is>
      </c>
      <c r="I71" s="68" t="inlineStr">
        <is>
          <t>No</t>
        </is>
      </c>
      <c r="J71" s="68" t="inlineStr">
        <is>
          <t>No</t>
        </is>
      </c>
      <c r="K71" s="68" t="inlineStr">
        <is>
          <t>No</t>
        </is>
      </c>
      <c r="L71" s="68" t="n"/>
      <c r="M71" s="227" t="n"/>
      <c r="N71" s="387" t="n"/>
      <c r="O71" s="387" t="n"/>
      <c r="P71" s="387" t="n"/>
    </row>
    <row r="72" ht="33" customHeight="1">
      <c r="A72" s="215" t="n">
        <v>37</v>
      </c>
      <c r="B72" s="63" t="n"/>
      <c r="C72" s="66" t="n"/>
      <c r="D72" s="63" t="n"/>
      <c r="E72" s="67" t="n"/>
      <c r="F72" s="68" t="inlineStr">
        <is>
          <t>Sí</t>
        </is>
      </c>
      <c r="G72" s="68" t="inlineStr">
        <is>
          <t>Sí</t>
        </is>
      </c>
      <c r="H72" s="68" t="inlineStr">
        <is>
          <t>No</t>
        </is>
      </c>
      <c r="I72" s="68" t="inlineStr">
        <is>
          <t>No</t>
        </is>
      </c>
      <c r="J72" s="68" t="inlineStr">
        <is>
          <t>No</t>
        </is>
      </c>
      <c r="K72" s="68" t="inlineStr">
        <is>
          <t>No</t>
        </is>
      </c>
      <c r="L72" s="68" t="n"/>
      <c r="M72" s="227" t="n"/>
      <c r="N72" s="387" t="n"/>
      <c r="O72" s="387" t="n"/>
      <c r="P72" s="387" t="n"/>
    </row>
    <row r="73" ht="33" customHeight="1">
      <c r="A73" s="215" t="n">
        <v>38</v>
      </c>
      <c r="B73" s="63" t="n"/>
      <c r="C73" s="66" t="n"/>
      <c r="D73" s="63" t="n"/>
      <c r="E73" s="67" t="n"/>
      <c r="F73" s="68" t="inlineStr">
        <is>
          <t>Sí</t>
        </is>
      </c>
      <c r="G73" s="68" t="inlineStr">
        <is>
          <t>Sí</t>
        </is>
      </c>
      <c r="H73" s="68" t="inlineStr">
        <is>
          <t>No</t>
        </is>
      </c>
      <c r="I73" s="68" t="inlineStr">
        <is>
          <t>No</t>
        </is>
      </c>
      <c r="J73" s="68" t="inlineStr">
        <is>
          <t>No</t>
        </is>
      </c>
      <c r="K73" s="68" t="inlineStr">
        <is>
          <t>No</t>
        </is>
      </c>
      <c r="L73" s="68" t="n"/>
      <c r="M73" s="227" t="n"/>
      <c r="N73" s="387" t="n"/>
      <c r="O73" s="387" t="n"/>
      <c r="P73" s="387" t="n"/>
    </row>
    <row r="74" ht="33" customHeight="1">
      <c r="A74" s="215" t="n">
        <v>39</v>
      </c>
      <c r="B74" s="63" t="n"/>
      <c r="C74" s="66" t="n"/>
      <c r="D74" s="63" t="n"/>
      <c r="E74" s="67" t="n"/>
      <c r="F74" s="68" t="inlineStr">
        <is>
          <t>Sí</t>
        </is>
      </c>
      <c r="G74" s="68" t="inlineStr">
        <is>
          <t>Sí</t>
        </is>
      </c>
      <c r="H74" s="68" t="inlineStr">
        <is>
          <t>No</t>
        </is>
      </c>
      <c r="I74" s="68" t="inlineStr">
        <is>
          <t>No</t>
        </is>
      </c>
      <c r="J74" s="68" t="inlineStr">
        <is>
          <t>No</t>
        </is>
      </c>
      <c r="K74" s="68" t="inlineStr">
        <is>
          <t>No</t>
        </is>
      </c>
      <c r="L74" s="68" t="n"/>
      <c r="M74" s="227" t="n"/>
      <c r="N74" s="387" t="n"/>
      <c r="O74" s="387" t="n"/>
      <c r="P74" s="387" t="n"/>
    </row>
    <row r="75" ht="26.25" customHeight="1">
      <c r="A75" s="215" t="n">
        <v>40</v>
      </c>
      <c r="B75" s="63" t="n"/>
      <c r="C75" s="66" t="n"/>
      <c r="D75" s="63" t="n"/>
      <c r="E75" s="67" t="n"/>
      <c r="F75" s="68" t="inlineStr">
        <is>
          <t>Sí</t>
        </is>
      </c>
      <c r="G75" s="68" t="inlineStr">
        <is>
          <t>Sí</t>
        </is>
      </c>
      <c r="H75" s="68" t="inlineStr">
        <is>
          <t>No</t>
        </is>
      </c>
      <c r="I75" s="68" t="inlineStr">
        <is>
          <t>No</t>
        </is>
      </c>
      <c r="J75" s="68" t="inlineStr">
        <is>
          <t>No</t>
        </is>
      </c>
      <c r="K75" s="68" t="inlineStr">
        <is>
          <t>No</t>
        </is>
      </c>
      <c r="L75" s="68" t="n"/>
      <c r="M75" s="227" t="n"/>
      <c r="N75" s="387" t="n"/>
      <c r="O75" s="387" t="n"/>
      <c r="P75" s="387" t="n"/>
    </row>
    <row r="76" ht="26.25" customHeight="1"/>
    <row r="77" ht="26.25" customFormat="1" customHeight="1" s="46">
      <c r="B77" s="396" t="inlineStr">
        <is>
          <t>5- Acords adoptats de caràcter col·legiat per l'equip docent</t>
        </is>
      </c>
      <c r="C77" s="392" t="n"/>
      <c r="D77" s="392" t="n"/>
      <c r="E77" s="392" t="n"/>
      <c r="F77" s="392" t="n"/>
      <c r="G77" s="392" t="n"/>
      <c r="H77" s="392" t="n"/>
      <c r="I77" s="392" t="n"/>
      <c r="J77" s="392" t="n"/>
      <c r="K77" s="392" t="n"/>
      <c r="L77" s="392" t="n"/>
      <c r="M77" s="392" t="n"/>
      <c r="N77" s="392" t="n"/>
      <c r="O77" s="392" t="n"/>
      <c r="P77" s="393" t="n"/>
    </row>
    <row r="78"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</row>
    <row r="79" ht="26.25" customFormat="1" customHeight="1" s="42">
      <c r="A79" s="69" t="n">
        <v>1</v>
      </c>
      <c r="B79" s="235">
        <f>IF(ACORDS!E9 = "", "", ACORDS!E9)</f>
        <v/>
      </c>
      <c r="C79" s="387" t="n"/>
      <c r="D79" s="387" t="n"/>
      <c r="E79" s="387" t="n"/>
      <c r="F79" s="387" t="n"/>
      <c r="G79" s="387" t="n"/>
      <c r="H79" s="387" t="n"/>
      <c r="I79" s="387" t="n"/>
      <c r="J79" s="387" t="n"/>
      <c r="K79" s="387" t="n"/>
      <c r="L79" s="397" t="inlineStr">
        <is>
          <t xml:space="preserve">Acta elaborada per: XXXXX. XX:XXh </t>
        </is>
      </c>
      <c r="M79" s="398" t="n"/>
      <c r="N79" s="398" t="n"/>
      <c r="O79" s="398" t="n"/>
      <c r="P79" s="399" t="n"/>
    </row>
    <row r="80" ht="30.75" customFormat="1" customHeight="1" s="42">
      <c r="A80" s="69" t="n">
        <v>2</v>
      </c>
      <c r="B80" s="235">
        <f>IF(ACORDS!E10 = "", "", ACORDS!E10)</f>
        <v/>
      </c>
      <c r="C80" s="387" t="n"/>
      <c r="D80" s="387" t="n"/>
      <c r="E80" s="387" t="n"/>
      <c r="F80" s="387" t="n"/>
      <c r="G80" s="387" t="n"/>
      <c r="H80" s="387" t="n"/>
      <c r="I80" s="387" t="n"/>
      <c r="J80" s="387" t="n"/>
      <c r="K80" s="387" t="n"/>
      <c r="L80" s="400" t="n"/>
      <c r="P80" s="401" t="n"/>
    </row>
    <row r="81" ht="30.75" customFormat="1" customHeight="1" s="42">
      <c r="A81" s="69" t="n">
        <v>3</v>
      </c>
      <c r="B81" s="235">
        <f>IF(ACORDS!E11 = "", "", ACORDS!E11)</f>
        <v/>
      </c>
      <c r="C81" s="387" t="n"/>
      <c r="D81" s="387" t="n"/>
      <c r="E81" s="387" t="n"/>
      <c r="F81" s="387" t="n"/>
      <c r="G81" s="387" t="n"/>
      <c r="H81" s="387" t="n"/>
      <c r="I81" s="387" t="n"/>
      <c r="J81" s="387" t="n"/>
      <c r="K81" s="387" t="n"/>
      <c r="L81" s="400" t="n"/>
      <c r="P81" s="401" t="n"/>
    </row>
    <row r="82" ht="30.75" customFormat="1" customHeight="1" s="42">
      <c r="A82" s="69" t="n">
        <v>4</v>
      </c>
      <c r="B82" s="235">
        <f>IF(ACORDS!E12 = "", "", ACORDS!E12)</f>
        <v/>
      </c>
      <c r="C82" s="387" t="n"/>
      <c r="D82" s="387" t="n"/>
      <c r="E82" s="387" t="n"/>
      <c r="F82" s="387" t="n"/>
      <c r="G82" s="387" t="n"/>
      <c r="H82" s="387" t="n"/>
      <c r="I82" s="387" t="n"/>
      <c r="J82" s="387" t="n"/>
      <c r="K82" s="387" t="n"/>
      <c r="L82" s="400" t="n"/>
      <c r="P82" s="401" t="n"/>
    </row>
    <row r="83" ht="30.75" customFormat="1" customHeight="1" s="42">
      <c r="A83" s="69" t="n">
        <v>5</v>
      </c>
      <c r="B83" s="235">
        <f>IF(ACORDS!E13 = "", "", ACORDS!E13)</f>
        <v/>
      </c>
      <c r="C83" s="387" t="n"/>
      <c r="D83" s="387" t="n"/>
      <c r="E83" s="387" t="n"/>
      <c r="F83" s="387" t="n"/>
      <c r="G83" s="387" t="n"/>
      <c r="H83" s="387" t="n"/>
      <c r="I83" s="387" t="n"/>
      <c r="J83" s="387" t="n"/>
      <c r="K83" s="387" t="n"/>
      <c r="L83" s="400" t="n"/>
      <c r="P83" s="401" t="n"/>
    </row>
    <row r="84" ht="30.75" customFormat="1" customHeight="1" s="42">
      <c r="A84" s="69" t="n">
        <v>6</v>
      </c>
      <c r="B84" s="235">
        <f>IF(ACORDS!E14 = "", "", ACORDS!E14)</f>
        <v/>
      </c>
      <c r="C84" s="387" t="n"/>
      <c r="D84" s="387" t="n"/>
      <c r="E84" s="387" t="n"/>
      <c r="F84" s="387" t="n"/>
      <c r="G84" s="387" t="n"/>
      <c r="H84" s="387" t="n"/>
      <c r="I84" s="387" t="n"/>
      <c r="J84" s="387" t="n"/>
      <c r="K84" s="387" t="n"/>
      <c r="L84" s="400" t="n"/>
      <c r="P84" s="401" t="n"/>
    </row>
    <row r="85" ht="30.75" customFormat="1" customHeight="1" s="42" thickBot="1">
      <c r="A85" s="69" t="n">
        <v>7</v>
      </c>
      <c r="B85" s="235">
        <f>IF(ACORDS!E15 = "", "", ACORDS!E15)</f>
        <v/>
      </c>
      <c r="C85" s="387" t="n"/>
      <c r="D85" s="387" t="n"/>
      <c r="E85" s="387" t="n"/>
      <c r="F85" s="387" t="n"/>
      <c r="G85" s="387" t="n"/>
      <c r="H85" s="387" t="n"/>
      <c r="I85" s="387" t="n"/>
      <c r="J85" s="387" t="n"/>
      <c r="K85" s="387" t="n"/>
      <c r="L85" s="402" t="n"/>
      <c r="M85" s="403" t="n"/>
      <c r="N85" s="403" t="n"/>
      <c r="O85" s="403" t="n"/>
      <c r="P85" s="404" t="n"/>
    </row>
    <row r="86">
      <c r="A86" s="208" t="inlineStr">
        <is>
          <t>En aquest document s'està realitzant un tractament de dades de l'alumnat que està regulat per la normativa vigent en matèria de Protecció de Dades de Caràcter Personal (LOPD 3/2018 i Resolució Conselleria
Educació, Investigació, Cultura i Esport del 28/6/2018). Recorda que les dades han de ser tractats de manera responsable i que has de guardar secret professional i no cedir o divulgar les dades ací contingudes.</t>
        </is>
      </c>
    </row>
    <row r="87"/>
    <row r="88"/>
  </sheetData>
  <mergeCells count="92">
    <mergeCell ref="F27:I27"/>
    <mergeCell ref="M61:P61"/>
    <mergeCell ref="B84:K84"/>
    <mergeCell ref="M57:P57"/>
    <mergeCell ref="D31:E31"/>
    <mergeCell ref="M72:P72"/>
    <mergeCell ref="B17:P17"/>
    <mergeCell ref="B80:K80"/>
    <mergeCell ref="M56:P56"/>
    <mergeCell ref="M71:P71"/>
    <mergeCell ref="M43:P43"/>
    <mergeCell ref="F29:I29"/>
    <mergeCell ref="M59:P59"/>
    <mergeCell ref="J5:M5"/>
    <mergeCell ref="B9:P9"/>
    <mergeCell ref="M70:P70"/>
    <mergeCell ref="M35:P35"/>
    <mergeCell ref="M54:P54"/>
    <mergeCell ref="G26:K26"/>
    <mergeCell ref="M74:P74"/>
    <mergeCell ref="B22:P22"/>
    <mergeCell ref="J4:M4"/>
    <mergeCell ref="B82:K82"/>
    <mergeCell ref="B12:P12"/>
    <mergeCell ref="M45:P45"/>
    <mergeCell ref="B14:P14"/>
    <mergeCell ref="B83:K83"/>
    <mergeCell ref="M47:P47"/>
    <mergeCell ref="M62:P62"/>
    <mergeCell ref="B27:C27"/>
    <mergeCell ref="B26:E26"/>
    <mergeCell ref="B85:K85"/>
    <mergeCell ref="B2:C6"/>
    <mergeCell ref="M44:P44"/>
    <mergeCell ref="B33:P33"/>
    <mergeCell ref="B29:C29"/>
    <mergeCell ref="M64:P64"/>
    <mergeCell ref="M73:P73"/>
    <mergeCell ref="M51:P51"/>
    <mergeCell ref="M27:N27"/>
    <mergeCell ref="M60:P60"/>
    <mergeCell ref="D2:G6"/>
    <mergeCell ref="H3:I3"/>
    <mergeCell ref="L79:P85"/>
    <mergeCell ref="H1:M1"/>
    <mergeCell ref="M65:P65"/>
    <mergeCell ref="H5:I5"/>
    <mergeCell ref="A86:P88"/>
    <mergeCell ref="F28:I28"/>
    <mergeCell ref="B77:P77"/>
    <mergeCell ref="M36:P36"/>
    <mergeCell ref="B11:P11"/>
    <mergeCell ref="J3:M3"/>
    <mergeCell ref="M63:P63"/>
    <mergeCell ref="M53:P53"/>
    <mergeCell ref="M50:P50"/>
    <mergeCell ref="M68:P68"/>
    <mergeCell ref="M55:P55"/>
    <mergeCell ref="M31:N31"/>
    <mergeCell ref="M67:P67"/>
    <mergeCell ref="M49:P49"/>
    <mergeCell ref="B15:P15"/>
    <mergeCell ref="M39:P39"/>
    <mergeCell ref="B24:P24"/>
    <mergeCell ref="M48:P48"/>
    <mergeCell ref="B28:C28"/>
    <mergeCell ref="M69:P69"/>
    <mergeCell ref="M26:N26"/>
    <mergeCell ref="B30:C30"/>
    <mergeCell ref="M75:P75"/>
    <mergeCell ref="M40:P40"/>
    <mergeCell ref="M29:N29"/>
    <mergeCell ref="B18:P18"/>
    <mergeCell ref="M41:P41"/>
    <mergeCell ref="H4:I4"/>
    <mergeCell ref="M38:P38"/>
    <mergeCell ref="J30:K30"/>
    <mergeCell ref="B79:K79"/>
    <mergeCell ref="M66:P66"/>
    <mergeCell ref="H6:I6"/>
    <mergeCell ref="M58:P58"/>
    <mergeCell ref="B81:K81"/>
    <mergeCell ref="M30:N30"/>
    <mergeCell ref="M52:P52"/>
    <mergeCell ref="B20:P20"/>
    <mergeCell ref="H7:I7"/>
    <mergeCell ref="M28:N28"/>
    <mergeCell ref="J6:M6"/>
    <mergeCell ref="M46:P46"/>
    <mergeCell ref="J7:M7"/>
    <mergeCell ref="M42:P42"/>
    <mergeCell ref="M37:P37"/>
  </mergeCells>
  <conditionalFormatting sqref="D31">
    <cfRule type="containsText" priority="1" operator="containsText" dxfId="33" text="No coincideix amb el total del grup">
      <formula>NOT(ISERROR(SEARCH("No coincideix amb el total del grup",D31)))</formula>
    </cfRule>
  </conditionalFormatting>
  <conditionalFormatting sqref="E36:G75">
    <cfRule type="cellIs" priority="3" operator="equal" dxfId="35">
      <formula>"No"</formula>
    </cfRule>
  </conditionalFormatting>
  <conditionalFormatting sqref="H36:L75">
    <cfRule type="cellIs" priority="4" operator="equal" dxfId="35">
      <formula>"Sí"</formula>
    </cfRule>
  </conditionalFormatting>
  <conditionalFormatting sqref="J30">
    <cfRule type="containsText" priority="2" operator="containsText" dxfId="33" text="No coincideix amb el total del grup">
      <formula>NOT(ISERROR(SEARCH("No coincideix amb el total del grup",J30)))</formula>
    </cfRule>
  </conditionalFormatting>
  <dataValidations count="3">
    <dataValidation sqref="E36:E75 J6:M6" showDropDown="0" showInputMessage="1" showErrorMessage="1" allowBlank="1"/>
    <dataValidation sqref="F36:K75" showDropDown="0" showInputMessage="1" showErrorMessage="1" allowBlank="1" type="list">
      <formula1>"Sí, No"</formula1>
    </dataValidation>
    <dataValidation sqref="J7" showDropDown="0" showInputMessage="1" showErrorMessage="1" allowBlank="1" type="date">
      <formula1>45170</formula1>
      <formula2>47664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7"/>
  <sheetViews>
    <sheetView topLeftCell="A22" workbookViewId="0">
      <selection activeCell="E27" sqref="E27"/>
    </sheetView>
  </sheetViews>
  <sheetFormatPr baseColWidth="10" defaultColWidth="0" defaultRowHeight="15.75" zeroHeight="1"/>
  <cols>
    <col width="3.59765625" customWidth="1" style="248" min="1" max="1"/>
    <col width="21.73046875" customWidth="1" style="248" min="2" max="2"/>
    <col width="25.265625" customWidth="1" style="248" min="3" max="3"/>
    <col width="12.59765625" customWidth="1" style="248" min="4" max="8"/>
    <col width="17.265625" customWidth="1" style="248" min="9" max="9"/>
    <col width="15.86328125" customWidth="1" style="248" min="10" max="11"/>
    <col width="12.59765625" customWidth="1" style="248" min="12" max="14"/>
    <col width="3.59765625" customWidth="1" style="248" min="15" max="15"/>
    <col hidden="1" width="9.1328125" customWidth="1" style="248" min="16" max="22"/>
    <col hidden="1" width="4.3984375" customWidth="1" style="248" min="23" max="181"/>
    <col hidden="1" style="248" min="182" max="16383"/>
    <col hidden="1" width="16.59765625" customWidth="1" style="248" min="16384" max="16384"/>
  </cols>
  <sheetData>
    <row r="1" ht="15.75" customHeight="1">
      <c r="B1" s="29" t="n"/>
      <c r="C1" s="29" t="n"/>
      <c r="D1" s="29" t="n"/>
      <c r="E1" s="29" t="n"/>
      <c r="F1" s="29" t="n"/>
      <c r="G1" s="29" t="n"/>
      <c r="H1" s="29" t="n"/>
      <c r="I1" s="30" t="inlineStr">
        <is>
          <t>PC03.F01 Acta d'avaluació Ed.02 - Setem.25</t>
        </is>
      </c>
      <c r="J1" s="30" t="n"/>
      <c r="K1" s="30" t="n"/>
      <c r="L1" s="31" t="n"/>
      <c r="M1" s="30" t="n"/>
    </row>
    <row r="2" ht="15.75" customHeight="1">
      <c r="B2" s="197" t="e">
        <v>#VALUE!</v>
      </c>
      <c r="D2" s="197" t="e">
        <v>#VALUE!</v>
      </c>
      <c r="G2" s="197" t="n"/>
      <c r="H2" s="197" t="n"/>
      <c r="J2" s="248" t="n"/>
    </row>
    <row r="3" ht="15.75" customHeight="1">
      <c r="H3" s="197" t="n"/>
      <c r="I3" s="70" t="inlineStr">
        <is>
          <t>GRUP</t>
        </is>
      </c>
      <c r="J3" s="198">
        <f>IF(INDEX!G3 = "", "", INDEX!G3)</f>
        <v/>
      </c>
      <c r="K3" s="387" t="n"/>
      <c r="L3" s="387" t="n"/>
      <c r="M3" s="387" t="n"/>
    </row>
    <row r="4" ht="15.75" customHeight="1">
      <c r="H4" s="197" t="n"/>
      <c r="I4" s="317" t="inlineStr">
        <is>
          <t>TUTOR/A</t>
        </is>
      </c>
      <c r="J4" s="198">
        <f>IF(INDEX!G4 = "", "", INDEX!G4)</f>
        <v/>
      </c>
      <c r="K4" s="387" t="n"/>
      <c r="L4" s="387" t="n"/>
      <c r="M4" s="387" t="n"/>
    </row>
    <row r="5" ht="15.75" customHeight="1" thickBot="1">
      <c r="H5" s="197" t="n"/>
      <c r="I5" s="71" t="inlineStr">
        <is>
          <t>CURS ESCOLAR</t>
        </is>
      </c>
      <c r="J5" s="199">
        <f>INDEX!G5</f>
        <v/>
      </c>
      <c r="K5" s="388" t="n"/>
      <c r="L5" s="388" t="n"/>
      <c r="M5" s="388" t="n"/>
    </row>
    <row r="6" ht="15.75" customHeight="1" thickBot="1">
      <c r="H6" s="197" t="n"/>
      <c r="I6" s="314" t="inlineStr">
        <is>
          <t>AVALUACIÓ</t>
        </is>
      </c>
      <c r="J6" s="199" t="inlineStr">
        <is>
          <t>Primera parcial</t>
        </is>
      </c>
      <c r="K6" s="388" t="n"/>
      <c r="L6" s="388" t="n"/>
      <c r="M6" s="388" t="n"/>
    </row>
    <row r="7">
      <c r="B7" s="29" t="n"/>
      <c r="C7" s="29" t="n"/>
      <c r="D7" s="197" t="n"/>
      <c r="E7" s="197" t="n"/>
      <c r="F7" s="197" t="n"/>
      <c r="G7" s="197" t="n"/>
      <c r="H7" s="197" t="n"/>
      <c r="I7" s="73" t="inlineStr">
        <is>
          <t>DATA SESSIÓ</t>
        </is>
      </c>
      <c r="J7" s="249" t="n"/>
      <c r="K7" s="386" t="n"/>
      <c r="L7" s="386" t="n"/>
      <c r="M7" s="386" t="n"/>
    </row>
    <row r="8" ht="27" customHeight="1"/>
    <row r="9" ht="21" customFormat="1" customHeight="1" s="37">
      <c r="B9" s="196" t="inlineStr">
        <is>
          <t>1- Informe sobre els aspectes generals del grup</t>
        </is>
      </c>
    </row>
    <row r="11" ht="15.6" customHeight="1">
      <c r="B11" s="250" t="inlineStr">
        <is>
          <t>Valoració de l'assistència i puntualitat a classe. Gestió del temps i compromís amb l'aprenentatge.</t>
        </is>
      </c>
    </row>
    <row r="12" ht="56.25" customHeight="1">
      <c r="B12" s="405" t="n"/>
      <c r="C12" s="387" t="n"/>
      <c r="D12" s="387" t="n"/>
      <c r="E12" s="387" t="n"/>
      <c r="F12" s="387" t="n"/>
      <c r="G12" s="387" t="n"/>
      <c r="H12" s="387" t="n"/>
      <c r="I12" s="387" t="n"/>
      <c r="J12" s="387" t="n"/>
      <c r="K12" s="387" t="n"/>
      <c r="L12" s="387" t="n"/>
      <c r="M12" s="387" t="n"/>
      <c r="N12" s="406" t="n"/>
    </row>
    <row r="13" ht="27" customHeight="1"/>
    <row r="14">
      <c r="B14" s="250" t="inlineStr">
        <is>
          <t>Valoració de les competències actitudinals i hàbits de treball.</t>
        </is>
      </c>
    </row>
    <row r="15" ht="56.25" customHeight="1">
      <c r="B15" s="405" t="n"/>
      <c r="C15" s="387" t="n"/>
      <c r="D15" s="387" t="n"/>
      <c r="E15" s="387" t="n"/>
      <c r="F15" s="387" t="n"/>
      <c r="G15" s="387" t="n"/>
      <c r="H15" s="387" t="n"/>
      <c r="I15" s="387" t="n"/>
      <c r="J15" s="387" t="n"/>
      <c r="K15" s="387" t="n"/>
      <c r="L15" s="387" t="n"/>
      <c r="M15" s="387" t="n"/>
      <c r="N15" s="406" t="n"/>
    </row>
    <row r="16" ht="27" customHeight="1"/>
    <row r="17">
      <c r="B17" s="250" t="inlineStr">
        <is>
          <t>Valoració de l'ambient de la classe, interacció entre l'alumnat: convivència, participació i la col·laboració.</t>
        </is>
      </c>
    </row>
    <row r="18" ht="56.25" customHeight="1">
      <c r="B18" s="405" t="n"/>
      <c r="C18" s="387" t="n"/>
      <c r="D18" s="387" t="n"/>
      <c r="E18" s="387" t="n"/>
      <c r="F18" s="387" t="n"/>
      <c r="G18" s="387" t="n"/>
      <c r="H18" s="387" t="n"/>
      <c r="I18" s="387" t="n"/>
      <c r="J18" s="387" t="n"/>
      <c r="K18" s="387" t="n"/>
      <c r="L18" s="387" t="n"/>
      <c r="M18" s="387" t="n"/>
      <c r="N18" s="406" t="n"/>
    </row>
    <row r="20" ht="21" customFormat="1" customHeight="1" s="37">
      <c r="B20" s="196" t="inlineStr">
        <is>
          <t>2- Informació traslladada per l'alumnat</t>
        </is>
      </c>
    </row>
    <row r="21">
      <c r="B21" s="248" t="inlineStr">
        <is>
          <t>Identificació de mòduls i resultats d'aprenentatge amb majors dificultats. Falta de desenvolupament de determinades competències.</t>
        </is>
      </c>
    </row>
    <row r="22" ht="56.25" customHeight="1">
      <c r="B22" s="405" t="n"/>
      <c r="C22" s="387" t="n"/>
      <c r="D22" s="387" t="n"/>
      <c r="E22" s="387" t="n"/>
      <c r="F22" s="387" t="n"/>
      <c r="G22" s="387" t="n"/>
      <c r="H22" s="387" t="n"/>
      <c r="I22" s="387" t="n"/>
      <c r="J22" s="387" t="n"/>
      <c r="K22" s="387" t="n"/>
      <c r="L22" s="387" t="n"/>
      <c r="M22" s="387" t="n"/>
      <c r="N22" s="406" t="n"/>
    </row>
    <row r="23" ht="27" customHeight="1"/>
    <row r="24" ht="21" customFormat="1" customHeight="1" s="37">
      <c r="B24" s="407" t="inlineStr">
        <is>
          <t>3- Estadístiques</t>
        </is>
      </c>
      <c r="C24" s="392" t="n"/>
      <c r="D24" s="392" t="n"/>
      <c r="E24" s="392" t="n"/>
      <c r="F24" s="392" t="n"/>
      <c r="G24" s="392" t="n"/>
      <c r="H24" s="392" t="n"/>
      <c r="I24" s="392" t="n"/>
      <c r="J24" s="392" t="n"/>
      <c r="K24" s="392" t="n"/>
      <c r="L24" s="392" t="n"/>
      <c r="M24" s="392" t="n"/>
      <c r="N24" s="393" t="n"/>
    </row>
    <row r="25">
      <c r="B25" s="74" t="inlineStr">
        <is>
          <t>Inclou el valor (número) en les cel·les ombrejades en roig</t>
        </is>
      </c>
      <c r="G25" s="75" t="n"/>
      <c r="H25" s="75" t="n"/>
      <c r="I25" s="75" t="n"/>
      <c r="J25" s="75" t="n"/>
      <c r="K25" s="75" t="n"/>
      <c r="L25" s="75" t="n"/>
      <c r="M25" s="76" t="n"/>
      <c r="N25" s="76" t="n"/>
    </row>
    <row r="26" ht="19.5" customHeight="1">
      <c r="B26" s="256" t="inlineStr">
        <is>
          <t>Núm. alumnat total grup</t>
        </is>
      </c>
      <c r="D26" s="54">
        <f>COUNTIFS($C$36:$C$75,"&lt;&gt;",$D$36:$D$75,"&lt;&gt;Baixa")-COUNTBLANK($C$36:$C$75)</f>
        <v/>
      </c>
      <c r="E26" s="78" t="inlineStr">
        <is>
          <t>% sobre total</t>
        </is>
      </c>
      <c r="G26" s="408" t="inlineStr">
        <is>
          <t>Observacions:</t>
        </is>
      </c>
      <c r="H26" s="409" t="n"/>
      <c r="I26" s="409" t="n"/>
      <c r="J26" s="409" t="n"/>
      <c r="K26" s="409" t="n"/>
      <c r="L26" s="409" t="n"/>
      <c r="M26" s="409" t="n"/>
      <c r="N26" s="410" t="n"/>
    </row>
    <row r="27" ht="19.5" customHeight="1">
      <c r="B27" s="256" t="inlineStr">
        <is>
          <t>Núm. baixes confirmades</t>
        </is>
      </c>
      <c r="D27" s="54">
        <f>COUNTIFS($D$36:$D$75,"Baixa")</f>
        <v/>
      </c>
      <c r="E27" s="79">
        <f>IFERROR(D27/$D$26,"-")</f>
        <v/>
      </c>
      <c r="G27" s="411" t="n"/>
      <c r="N27" s="412" t="n"/>
    </row>
    <row r="28" ht="19.5" customHeight="1">
      <c r="B28" s="256" t="inlineStr">
        <is>
          <t>Núm. abandonaments</t>
        </is>
      </c>
      <c r="D28" s="56" t="n">
        <v>0</v>
      </c>
      <c r="E28" s="79">
        <f>IFERROR(D28/$D$26,"-")</f>
        <v/>
      </c>
      <c r="G28" s="411" t="n"/>
      <c r="N28" s="412" t="n"/>
    </row>
    <row r="29" ht="19.5" customHeight="1">
      <c r="B29" s="256" t="inlineStr">
        <is>
          <t>Núm. alumnat NESE</t>
        </is>
      </c>
      <c r="D29" s="56" t="n">
        <v>0</v>
      </c>
      <c r="E29" s="79">
        <f>IFERROR(D29/$D$26,"-")</f>
        <v/>
      </c>
      <c r="G29" s="411" t="n"/>
      <c r="N29" s="412" t="n"/>
    </row>
    <row r="30" ht="19.5" customHeight="1">
      <c r="B30" s="256" t="inlineStr">
        <is>
          <t>Núm. alumnat avaluat</t>
        </is>
      </c>
      <c r="D30" s="56" t="n">
        <v>0</v>
      </c>
      <c r="E30" s="79">
        <f>IFERROR(D30/$D$26,"-")</f>
        <v/>
      </c>
      <c r="G30" s="411" t="n"/>
      <c r="N30" s="412" t="n"/>
    </row>
    <row r="31" ht="19.5" customHeight="1" thickBot="1">
      <c r="B31" s="256" t="inlineStr">
        <is>
          <t>Núm. alumnat no avaluat</t>
        </is>
      </c>
      <c r="D31" s="80" t="n">
        <v>0</v>
      </c>
      <c r="E31" s="79">
        <f>IFERROR(D31/$D$26,"-")</f>
        <v/>
      </c>
      <c r="G31" s="413" t="n"/>
      <c r="H31" s="414" t="n"/>
      <c r="I31" s="414" t="n"/>
      <c r="J31" s="414" t="n"/>
      <c r="K31" s="414" t="n"/>
      <c r="L31" s="414" t="n"/>
      <c r="M31" s="414" t="n"/>
      <c r="N31" s="415" t="n"/>
    </row>
    <row r="32" ht="27" customHeight="1">
      <c r="B32" s="256" t="n"/>
      <c r="C32" s="256" t="n"/>
      <c r="D32" s="266" t="n"/>
      <c r="E32" s="386" t="n"/>
      <c r="G32" s="267" t="n"/>
      <c r="L32" s="200" t="n"/>
      <c r="M32" s="81" t="n"/>
      <c r="N32" s="81" t="n"/>
    </row>
    <row r="33" ht="21" customFormat="1" customHeight="1" s="37">
      <c r="B33" s="416" t="inlineStr">
        <is>
          <t>4- Anàlisi individual de l'alumnat</t>
        </is>
      </c>
      <c r="C33" s="392" t="n"/>
      <c r="D33" s="392" t="n"/>
      <c r="E33" s="392" t="n"/>
      <c r="F33" s="392" t="n"/>
      <c r="G33" s="392" t="n"/>
      <c r="H33" s="392" t="n"/>
      <c r="I33" s="392" t="n"/>
      <c r="J33" s="392" t="n"/>
      <c r="K33" s="392" t="n"/>
      <c r="L33" s="392" t="n"/>
      <c r="M33" s="392" t="n"/>
      <c r="N33" s="393" t="n"/>
    </row>
    <row r="34">
      <c r="E34" s="75" t="n"/>
    </row>
    <row r="35" ht="32.25" customFormat="1" customHeight="1" s="188">
      <c r="B35" s="63" t="inlineStr">
        <is>
          <t>NIA</t>
        </is>
      </c>
      <c r="C35" s="63" t="inlineStr">
        <is>
          <t>Alumne/a</t>
        </is>
      </c>
      <c r="D35" s="251" t="inlineStr">
        <is>
          <t>Estat 1rT</t>
        </is>
      </c>
      <c r="E35" s="252" t="inlineStr">
        <is>
          <t>Observacions individuals - Mesures d'atenció a la diversitat  - Eficàcia de les mesures - Avaluar el progrés de l'alumnat en la consecució dels RA i les competències professionals i per a l'ocupabilitat - Plans de recuperació - Pèrdua de l'avaluació contínua</t>
        </is>
      </c>
      <c r="F35" s="387" t="n"/>
      <c r="G35" s="387" t="n"/>
      <c r="H35" s="387" t="n"/>
      <c r="I35" s="387" t="n"/>
      <c r="J35" s="387" t="n"/>
      <c r="K35" s="387" t="n"/>
      <c r="L35" s="387" t="n"/>
      <c r="M35" s="387" t="n"/>
      <c r="N35" s="406" t="n"/>
    </row>
    <row r="36" ht="33" customHeight="1">
      <c r="A36" s="188" t="n">
        <v>1</v>
      </c>
      <c r="B36" s="63">
        <f>IF('0 AVAL'!B36 = "", "", '0 AVAL'!B36)</f>
        <v/>
      </c>
      <c r="C36" s="63">
        <f>IF('0 AVAL'!C36 = "", "", '0 AVAL'!C36)</f>
        <v/>
      </c>
      <c r="D36" s="63" t="n"/>
      <c r="E36" s="417" t="n"/>
      <c r="F36" s="387" t="n"/>
      <c r="G36" s="387" t="n"/>
      <c r="H36" s="387" t="n"/>
      <c r="I36" s="387" t="n"/>
      <c r="J36" s="387" t="n"/>
      <c r="K36" s="387" t="n"/>
      <c r="L36" s="387" t="n"/>
      <c r="M36" s="387" t="n"/>
      <c r="N36" s="406" t="n"/>
    </row>
    <row r="37" ht="33" customHeight="1">
      <c r="A37" s="188" t="n">
        <v>2</v>
      </c>
      <c r="B37" s="63">
        <f>IF('0 AVAL'!B37 = "", "", '0 AVAL'!B37)</f>
        <v/>
      </c>
      <c r="C37" s="63">
        <f>IF('0 AVAL'!C37 = "", "", '0 AVAL'!C37)</f>
        <v/>
      </c>
      <c r="D37" s="63" t="n"/>
      <c r="E37" s="417" t="n"/>
      <c r="F37" s="387" t="n"/>
      <c r="G37" s="387" t="n"/>
      <c r="H37" s="387" t="n"/>
      <c r="I37" s="387" t="n"/>
      <c r="J37" s="387" t="n"/>
      <c r="K37" s="387" t="n"/>
      <c r="L37" s="387" t="n"/>
      <c r="M37" s="387" t="n"/>
      <c r="N37" s="406" t="n"/>
    </row>
    <row r="38" ht="33" customHeight="1">
      <c r="A38" s="188" t="n">
        <v>3</v>
      </c>
      <c r="B38" s="63">
        <f>IF('0 AVAL'!B38 = "", "", '0 AVAL'!B38)</f>
        <v/>
      </c>
      <c r="C38" s="63">
        <f>IF('0 AVAL'!C38 = "", "", '0 AVAL'!C38)</f>
        <v/>
      </c>
      <c r="D38" s="63" t="n"/>
      <c r="E38" s="417" t="n"/>
      <c r="F38" s="387" t="n"/>
      <c r="G38" s="387" t="n"/>
      <c r="H38" s="387" t="n"/>
      <c r="I38" s="387" t="n"/>
      <c r="J38" s="387" t="n"/>
      <c r="K38" s="387" t="n"/>
      <c r="L38" s="387" t="n"/>
      <c r="M38" s="387" t="n"/>
      <c r="N38" s="406" t="n"/>
    </row>
    <row r="39" ht="33" customHeight="1">
      <c r="A39" s="188" t="n">
        <v>4</v>
      </c>
      <c r="B39" s="63">
        <f>IF('0 AVAL'!B39 = "", "", '0 AVAL'!B39)</f>
        <v/>
      </c>
      <c r="C39" s="63">
        <f>IF('0 AVAL'!C39 = "", "", '0 AVAL'!C39)</f>
        <v/>
      </c>
      <c r="D39" s="63" t="n"/>
      <c r="E39" s="417" t="n"/>
      <c r="F39" s="387" t="n"/>
      <c r="G39" s="387" t="n"/>
      <c r="H39" s="387" t="n"/>
      <c r="I39" s="387" t="n"/>
      <c r="J39" s="387" t="n"/>
      <c r="K39" s="387" t="n"/>
      <c r="L39" s="387" t="n"/>
      <c r="M39" s="387" t="n"/>
      <c r="N39" s="406" t="n"/>
    </row>
    <row r="40" ht="33" customHeight="1">
      <c r="A40" s="188" t="n">
        <v>5</v>
      </c>
      <c r="B40" s="63">
        <f>IF('0 AVAL'!B40 = "", "", '0 AVAL'!B40)</f>
        <v/>
      </c>
      <c r="C40" s="63">
        <f>IF('0 AVAL'!C40 = "", "", '0 AVAL'!C40)</f>
        <v/>
      </c>
      <c r="D40" s="63" t="n"/>
      <c r="E40" s="417" t="n"/>
      <c r="F40" s="387" t="n"/>
      <c r="G40" s="387" t="n"/>
      <c r="H40" s="387" t="n"/>
      <c r="I40" s="387" t="n"/>
      <c r="J40" s="387" t="n"/>
      <c r="K40" s="387" t="n"/>
      <c r="L40" s="387" t="n"/>
      <c r="M40" s="387" t="n"/>
      <c r="N40" s="406" t="n"/>
    </row>
    <row r="41" ht="33" customHeight="1">
      <c r="A41" s="188" t="n">
        <v>6</v>
      </c>
      <c r="B41" s="63">
        <f>IF('0 AVAL'!B41 = "", "", '0 AVAL'!B41)</f>
        <v/>
      </c>
      <c r="C41" s="63">
        <f>IF('0 AVAL'!C41 = "", "", '0 AVAL'!C41)</f>
        <v/>
      </c>
      <c r="D41" s="63" t="n"/>
      <c r="E41" s="417" t="n"/>
      <c r="F41" s="387" t="n"/>
      <c r="G41" s="387" t="n"/>
      <c r="H41" s="387" t="n"/>
      <c r="I41" s="387" t="n"/>
      <c r="J41" s="387" t="n"/>
      <c r="K41" s="387" t="n"/>
      <c r="L41" s="387" t="n"/>
      <c r="M41" s="387" t="n"/>
      <c r="N41" s="406" t="n"/>
    </row>
    <row r="42" ht="33" customHeight="1">
      <c r="A42" s="188" t="n">
        <v>7</v>
      </c>
      <c r="B42" s="63">
        <f>IF('0 AVAL'!B42 = "", "", '0 AVAL'!B42)</f>
        <v/>
      </c>
      <c r="C42" s="63">
        <f>IF('0 AVAL'!C42 = "", "", '0 AVAL'!C42)</f>
        <v/>
      </c>
      <c r="D42" s="63" t="n"/>
      <c r="E42" s="417" t="n"/>
      <c r="F42" s="387" t="n"/>
      <c r="G42" s="387" t="n"/>
      <c r="H42" s="387" t="n"/>
      <c r="I42" s="387" t="n"/>
      <c r="J42" s="387" t="n"/>
      <c r="K42" s="387" t="n"/>
      <c r="L42" s="387" t="n"/>
      <c r="M42" s="387" t="n"/>
      <c r="N42" s="406" t="n"/>
    </row>
    <row r="43" ht="33" customHeight="1">
      <c r="A43" s="188" t="n">
        <v>8</v>
      </c>
      <c r="B43" s="63">
        <f>IF('0 AVAL'!B43 = "", "", '0 AVAL'!B43)</f>
        <v/>
      </c>
      <c r="C43" s="63">
        <f>IF('0 AVAL'!C43 = "", "", '0 AVAL'!C43)</f>
        <v/>
      </c>
      <c r="D43" s="63" t="n"/>
      <c r="E43" s="417" t="n"/>
      <c r="F43" s="387" t="n"/>
      <c r="G43" s="387" t="n"/>
      <c r="H43" s="387" t="n"/>
      <c r="I43" s="387" t="n"/>
      <c r="J43" s="387" t="n"/>
      <c r="K43" s="387" t="n"/>
      <c r="L43" s="387" t="n"/>
      <c r="M43" s="387" t="n"/>
      <c r="N43" s="406" t="n"/>
    </row>
    <row r="44" ht="33" customHeight="1">
      <c r="A44" s="188" t="n">
        <v>9</v>
      </c>
      <c r="B44" s="63">
        <f>IF('0 AVAL'!B44 = "", "", '0 AVAL'!B44)</f>
        <v/>
      </c>
      <c r="C44" s="63">
        <f>IF('0 AVAL'!C44 = "", "", '0 AVAL'!C44)</f>
        <v/>
      </c>
      <c r="D44" s="63" t="n"/>
      <c r="E44" s="417" t="n"/>
      <c r="F44" s="387" t="n"/>
      <c r="G44" s="387" t="n"/>
      <c r="H44" s="387" t="n"/>
      <c r="I44" s="387" t="n"/>
      <c r="J44" s="387" t="n"/>
      <c r="K44" s="387" t="n"/>
      <c r="L44" s="387" t="n"/>
      <c r="M44" s="387" t="n"/>
      <c r="N44" s="406" t="n"/>
    </row>
    <row r="45" ht="33" customHeight="1">
      <c r="A45" s="188" t="n">
        <v>10</v>
      </c>
      <c r="B45" s="63">
        <f>IF('0 AVAL'!B45 = "", "", '0 AVAL'!B45)</f>
        <v/>
      </c>
      <c r="C45" s="63">
        <f>IF('0 AVAL'!C45 = "", "", '0 AVAL'!C45)</f>
        <v/>
      </c>
      <c r="D45" s="63" t="n"/>
      <c r="E45" s="417" t="n"/>
      <c r="F45" s="387" t="n"/>
      <c r="G45" s="387" t="n"/>
      <c r="H45" s="387" t="n"/>
      <c r="I45" s="387" t="n"/>
      <c r="J45" s="387" t="n"/>
      <c r="K45" s="387" t="n"/>
      <c r="L45" s="387" t="n"/>
      <c r="M45" s="387" t="n"/>
      <c r="N45" s="406" t="n"/>
    </row>
    <row r="46" ht="33" customHeight="1">
      <c r="A46" s="188" t="n">
        <v>11</v>
      </c>
      <c r="B46" s="63">
        <f>IF('0 AVAL'!B46 = "", "", '0 AVAL'!B46)</f>
        <v/>
      </c>
      <c r="C46" s="63">
        <f>IF('0 AVAL'!C46 = "", "", '0 AVAL'!C46)</f>
        <v/>
      </c>
      <c r="D46" s="63" t="n"/>
      <c r="E46" s="417" t="n"/>
      <c r="F46" s="387" t="n"/>
      <c r="G46" s="387" t="n"/>
      <c r="H46" s="387" t="n"/>
      <c r="I46" s="387" t="n"/>
      <c r="J46" s="387" t="n"/>
      <c r="K46" s="387" t="n"/>
      <c r="L46" s="387" t="n"/>
      <c r="M46" s="387" t="n"/>
      <c r="N46" s="406" t="n"/>
    </row>
    <row r="47" ht="33" customHeight="1">
      <c r="A47" s="188" t="n">
        <v>12</v>
      </c>
      <c r="B47" s="63">
        <f>IF('0 AVAL'!B47 = "", "", '0 AVAL'!B47)</f>
        <v/>
      </c>
      <c r="C47" s="63">
        <f>IF('0 AVAL'!C47 = "", "", '0 AVAL'!C47)</f>
        <v/>
      </c>
      <c r="D47" s="63" t="n"/>
      <c r="E47" s="417" t="n"/>
      <c r="F47" s="387" t="n"/>
      <c r="G47" s="387" t="n"/>
      <c r="H47" s="387" t="n"/>
      <c r="I47" s="387" t="n"/>
      <c r="J47" s="387" t="n"/>
      <c r="K47" s="387" t="n"/>
      <c r="L47" s="387" t="n"/>
      <c r="M47" s="387" t="n"/>
      <c r="N47" s="406" t="n"/>
    </row>
    <row r="48" ht="33" customHeight="1">
      <c r="A48" s="188" t="n">
        <v>13</v>
      </c>
      <c r="B48" s="63">
        <f>IF('0 AVAL'!B48 = "", "", '0 AVAL'!B48)</f>
        <v/>
      </c>
      <c r="C48" s="63">
        <f>IF('0 AVAL'!C48 = "", "", '0 AVAL'!C48)</f>
        <v/>
      </c>
      <c r="D48" s="63" t="n"/>
      <c r="E48" s="417" t="n"/>
      <c r="F48" s="387" t="n"/>
      <c r="G48" s="387" t="n"/>
      <c r="H48" s="387" t="n"/>
      <c r="I48" s="387" t="n"/>
      <c r="J48" s="387" t="n"/>
      <c r="K48" s="387" t="n"/>
      <c r="L48" s="387" t="n"/>
      <c r="M48" s="387" t="n"/>
      <c r="N48" s="406" t="n"/>
    </row>
    <row r="49" ht="33" customHeight="1">
      <c r="A49" s="188" t="n">
        <v>14</v>
      </c>
      <c r="B49" s="63">
        <f>IF('0 AVAL'!B49 = "", "", '0 AVAL'!B49)</f>
        <v/>
      </c>
      <c r="C49" s="63">
        <f>IF('0 AVAL'!C49 = "", "", '0 AVAL'!C49)</f>
        <v/>
      </c>
      <c r="D49" s="63" t="n"/>
      <c r="E49" s="417" t="n"/>
      <c r="F49" s="387" t="n"/>
      <c r="G49" s="387" t="n"/>
      <c r="H49" s="387" t="n"/>
      <c r="I49" s="387" t="n"/>
      <c r="J49" s="387" t="n"/>
      <c r="K49" s="387" t="n"/>
      <c r="L49" s="387" t="n"/>
      <c r="M49" s="387" t="n"/>
      <c r="N49" s="406" t="n"/>
    </row>
    <row r="50" ht="33" customHeight="1">
      <c r="A50" s="188" t="n">
        <v>15</v>
      </c>
      <c r="B50" s="63">
        <f>IF('0 AVAL'!B50 = "", "", '0 AVAL'!B50)</f>
        <v/>
      </c>
      <c r="C50" s="63">
        <f>IF('0 AVAL'!C50 = "", "", '0 AVAL'!C50)</f>
        <v/>
      </c>
      <c r="D50" s="63" t="n"/>
      <c r="E50" s="417" t="n"/>
      <c r="F50" s="387" t="n"/>
      <c r="G50" s="387" t="n"/>
      <c r="H50" s="387" t="n"/>
      <c r="I50" s="387" t="n"/>
      <c r="J50" s="387" t="n"/>
      <c r="K50" s="387" t="n"/>
      <c r="L50" s="387" t="n"/>
      <c r="M50" s="387" t="n"/>
      <c r="N50" s="406" t="n"/>
    </row>
    <row r="51" ht="33" customHeight="1">
      <c r="A51" s="188" t="n">
        <v>16</v>
      </c>
      <c r="B51" s="63">
        <f>IF('0 AVAL'!B51 = "", "", '0 AVAL'!B51)</f>
        <v/>
      </c>
      <c r="C51" s="63">
        <f>IF('0 AVAL'!C51 = "", "", '0 AVAL'!C51)</f>
        <v/>
      </c>
      <c r="D51" s="63" t="n"/>
      <c r="E51" s="417" t="n"/>
      <c r="F51" s="387" t="n"/>
      <c r="G51" s="387" t="n"/>
      <c r="H51" s="387" t="n"/>
      <c r="I51" s="387" t="n"/>
      <c r="J51" s="387" t="n"/>
      <c r="K51" s="387" t="n"/>
      <c r="L51" s="387" t="n"/>
      <c r="M51" s="387" t="n"/>
      <c r="N51" s="406" t="n"/>
    </row>
    <row r="52" ht="33" customHeight="1">
      <c r="A52" s="188" t="n">
        <v>17</v>
      </c>
      <c r="B52" s="63">
        <f>IF('0 AVAL'!B52 = "", "", '0 AVAL'!B52)</f>
        <v/>
      </c>
      <c r="C52" s="63">
        <f>IF('0 AVAL'!C52 = "", "", '0 AVAL'!C52)</f>
        <v/>
      </c>
      <c r="D52" s="63" t="n"/>
      <c r="E52" s="417" t="n"/>
      <c r="F52" s="387" t="n"/>
      <c r="G52" s="387" t="n"/>
      <c r="H52" s="387" t="n"/>
      <c r="I52" s="387" t="n"/>
      <c r="J52" s="387" t="n"/>
      <c r="K52" s="387" t="n"/>
      <c r="L52" s="387" t="n"/>
      <c r="M52" s="387" t="n"/>
      <c r="N52" s="406" t="n"/>
    </row>
    <row r="53" ht="33" customHeight="1">
      <c r="A53" s="188" t="n">
        <v>18</v>
      </c>
      <c r="B53" s="63">
        <f>IF('0 AVAL'!B53 = "", "", '0 AVAL'!B53)</f>
        <v/>
      </c>
      <c r="C53" s="63">
        <f>IF('0 AVAL'!C53 = "", "", '0 AVAL'!C53)</f>
        <v/>
      </c>
      <c r="D53" s="63" t="n"/>
      <c r="E53" s="417" t="n"/>
      <c r="F53" s="387" t="n"/>
      <c r="G53" s="387" t="n"/>
      <c r="H53" s="387" t="n"/>
      <c r="I53" s="387" t="n"/>
      <c r="J53" s="387" t="n"/>
      <c r="K53" s="387" t="n"/>
      <c r="L53" s="387" t="n"/>
      <c r="M53" s="387" t="n"/>
      <c r="N53" s="406" t="n"/>
    </row>
    <row r="54" ht="33" customHeight="1">
      <c r="A54" s="188" t="n">
        <v>19</v>
      </c>
      <c r="B54" s="63">
        <f>IF('0 AVAL'!B54 = "", "", '0 AVAL'!B54)</f>
        <v/>
      </c>
      <c r="C54" s="63">
        <f>IF('0 AVAL'!C54 = "", "", '0 AVAL'!C54)</f>
        <v/>
      </c>
      <c r="D54" s="63" t="n"/>
      <c r="E54" s="417" t="n"/>
      <c r="F54" s="387" t="n"/>
      <c r="G54" s="387" t="n"/>
      <c r="H54" s="387" t="n"/>
      <c r="I54" s="387" t="n"/>
      <c r="J54" s="387" t="n"/>
      <c r="K54" s="387" t="n"/>
      <c r="L54" s="387" t="n"/>
      <c r="M54" s="387" t="n"/>
      <c r="N54" s="406" t="n"/>
    </row>
    <row r="55" ht="33" customHeight="1">
      <c r="A55" s="188" t="n">
        <v>20</v>
      </c>
      <c r="B55" s="63">
        <f>IF('0 AVAL'!B55 = "", "", '0 AVAL'!B55)</f>
        <v/>
      </c>
      <c r="C55" s="63">
        <f>IF('0 AVAL'!C55 = "", "", '0 AVAL'!C55)</f>
        <v/>
      </c>
      <c r="D55" s="63" t="n"/>
      <c r="E55" s="417" t="n"/>
      <c r="F55" s="387" t="n"/>
      <c r="G55" s="387" t="n"/>
      <c r="H55" s="387" t="n"/>
      <c r="I55" s="387" t="n"/>
      <c r="J55" s="387" t="n"/>
      <c r="K55" s="387" t="n"/>
      <c r="L55" s="387" t="n"/>
      <c r="M55" s="387" t="n"/>
      <c r="N55" s="406" t="n"/>
    </row>
    <row r="56" ht="33" customHeight="1">
      <c r="A56" s="188" t="n">
        <v>21</v>
      </c>
      <c r="B56" s="63">
        <f>IF('0 AVAL'!B56 = "", "", '0 AVAL'!B56)</f>
        <v/>
      </c>
      <c r="C56" s="63">
        <f>IF('0 AVAL'!C56 = "", "", '0 AVAL'!C56)</f>
        <v/>
      </c>
      <c r="D56" s="63" t="n"/>
      <c r="E56" s="417" t="n"/>
      <c r="F56" s="387" t="n"/>
      <c r="G56" s="387" t="n"/>
      <c r="H56" s="387" t="n"/>
      <c r="I56" s="387" t="n"/>
      <c r="J56" s="387" t="n"/>
      <c r="K56" s="387" t="n"/>
      <c r="L56" s="387" t="n"/>
      <c r="M56" s="387" t="n"/>
      <c r="N56" s="406" t="n"/>
    </row>
    <row r="57" ht="33" customHeight="1">
      <c r="A57" s="188" t="n">
        <v>22</v>
      </c>
      <c r="B57" s="63">
        <f>IF('0 AVAL'!B57 = "", "", '0 AVAL'!B57)</f>
        <v/>
      </c>
      <c r="C57" s="63">
        <f>IF('0 AVAL'!C57 = "", "", '0 AVAL'!C57)</f>
        <v/>
      </c>
      <c r="D57" s="63" t="n"/>
      <c r="E57" s="417" t="n"/>
      <c r="F57" s="387" t="n"/>
      <c r="G57" s="387" t="n"/>
      <c r="H57" s="387" t="n"/>
      <c r="I57" s="387" t="n"/>
      <c r="J57" s="387" t="n"/>
      <c r="K57" s="387" t="n"/>
      <c r="L57" s="387" t="n"/>
      <c r="M57" s="387" t="n"/>
      <c r="N57" s="406" t="n"/>
    </row>
    <row r="58" ht="33" customHeight="1">
      <c r="A58" s="188" t="n">
        <v>23</v>
      </c>
      <c r="B58" s="63">
        <f>IF('0 AVAL'!B58 = "", "", '0 AVAL'!B58)</f>
        <v/>
      </c>
      <c r="C58" s="63">
        <f>IF('0 AVAL'!C58 = "", "", '0 AVAL'!C58)</f>
        <v/>
      </c>
      <c r="D58" s="63" t="n"/>
      <c r="E58" s="417" t="n"/>
      <c r="F58" s="387" t="n"/>
      <c r="G58" s="387" t="n"/>
      <c r="H58" s="387" t="n"/>
      <c r="I58" s="387" t="n"/>
      <c r="J58" s="387" t="n"/>
      <c r="K58" s="387" t="n"/>
      <c r="L58" s="387" t="n"/>
      <c r="M58" s="387" t="n"/>
      <c r="N58" s="406" t="n"/>
    </row>
    <row r="59" ht="33" customHeight="1">
      <c r="A59" s="188" t="n">
        <v>24</v>
      </c>
      <c r="B59" s="63">
        <f>IF('0 AVAL'!B59 = "", "", '0 AVAL'!B59)</f>
        <v/>
      </c>
      <c r="C59" s="63">
        <f>IF('0 AVAL'!C59 = "", "", '0 AVAL'!C59)</f>
        <v/>
      </c>
      <c r="D59" s="63" t="n"/>
      <c r="E59" s="417" t="n"/>
      <c r="F59" s="387" t="n"/>
      <c r="G59" s="387" t="n"/>
      <c r="H59" s="387" t="n"/>
      <c r="I59" s="387" t="n"/>
      <c r="J59" s="387" t="n"/>
      <c r="K59" s="387" t="n"/>
      <c r="L59" s="387" t="n"/>
      <c r="M59" s="387" t="n"/>
      <c r="N59" s="406" t="n"/>
    </row>
    <row r="60" ht="33" customHeight="1">
      <c r="A60" s="188" t="n">
        <v>25</v>
      </c>
      <c r="B60" s="63">
        <f>IF('0 AVAL'!B60 = "", "", '0 AVAL'!B60)</f>
        <v/>
      </c>
      <c r="C60" s="63">
        <f>IF('0 AVAL'!C60 = "", "", '0 AVAL'!C60)</f>
        <v/>
      </c>
      <c r="D60" s="63" t="n"/>
      <c r="E60" s="417" t="n"/>
      <c r="F60" s="387" t="n"/>
      <c r="G60" s="387" t="n"/>
      <c r="H60" s="387" t="n"/>
      <c r="I60" s="387" t="n"/>
      <c r="J60" s="387" t="n"/>
      <c r="K60" s="387" t="n"/>
      <c r="L60" s="387" t="n"/>
      <c r="M60" s="387" t="n"/>
      <c r="N60" s="406" t="n"/>
    </row>
    <row r="61" ht="33" customHeight="1">
      <c r="A61" s="188" t="n">
        <v>26</v>
      </c>
      <c r="B61" s="63">
        <f>IF('0 AVAL'!B61 = "", "", '0 AVAL'!B61)</f>
        <v/>
      </c>
      <c r="C61" s="63">
        <f>IF('0 AVAL'!C61 = "", "", '0 AVAL'!C61)</f>
        <v/>
      </c>
      <c r="D61" s="63" t="n"/>
      <c r="E61" s="417" t="n"/>
      <c r="F61" s="387" t="n"/>
      <c r="G61" s="387" t="n"/>
      <c r="H61" s="387" t="n"/>
      <c r="I61" s="387" t="n"/>
      <c r="J61" s="387" t="n"/>
      <c r="K61" s="387" t="n"/>
      <c r="L61" s="387" t="n"/>
      <c r="M61" s="387" t="n"/>
      <c r="N61" s="406" t="n"/>
    </row>
    <row r="62" ht="33" customHeight="1">
      <c r="A62" s="188" t="n">
        <v>27</v>
      </c>
      <c r="B62" s="63">
        <f>IF('0 AVAL'!B62 = "", "", '0 AVAL'!B62)</f>
        <v/>
      </c>
      <c r="C62" s="63">
        <f>IF('0 AVAL'!C62 = "", "", '0 AVAL'!C62)</f>
        <v/>
      </c>
      <c r="D62" s="63" t="n"/>
      <c r="E62" s="417" t="n"/>
      <c r="F62" s="387" t="n"/>
      <c r="G62" s="387" t="n"/>
      <c r="H62" s="387" t="n"/>
      <c r="I62" s="387" t="n"/>
      <c r="J62" s="387" t="n"/>
      <c r="K62" s="387" t="n"/>
      <c r="L62" s="387" t="n"/>
      <c r="M62" s="387" t="n"/>
      <c r="N62" s="406" t="n"/>
    </row>
    <row r="63" ht="33" customHeight="1">
      <c r="A63" s="188" t="n">
        <v>28</v>
      </c>
      <c r="B63" s="63">
        <f>IF('0 AVAL'!B63 = "", "", '0 AVAL'!B63)</f>
        <v/>
      </c>
      <c r="C63" s="63">
        <f>IF('0 AVAL'!C63 = "", "", '0 AVAL'!C63)</f>
        <v/>
      </c>
      <c r="D63" s="63" t="n"/>
      <c r="E63" s="417" t="n"/>
      <c r="F63" s="387" t="n"/>
      <c r="G63" s="387" t="n"/>
      <c r="H63" s="387" t="n"/>
      <c r="I63" s="387" t="n"/>
      <c r="J63" s="387" t="n"/>
      <c r="K63" s="387" t="n"/>
      <c r="L63" s="387" t="n"/>
      <c r="M63" s="387" t="n"/>
      <c r="N63" s="406" t="n"/>
    </row>
    <row r="64" ht="33" customHeight="1">
      <c r="A64" s="188" t="n">
        <v>29</v>
      </c>
      <c r="B64" s="63">
        <f>IF('0 AVAL'!B64 = "", "", '0 AVAL'!B64)</f>
        <v/>
      </c>
      <c r="C64" s="63">
        <f>IF('0 AVAL'!C64 = "", "", '0 AVAL'!C64)</f>
        <v/>
      </c>
      <c r="D64" s="63" t="n"/>
      <c r="E64" s="417" t="n"/>
      <c r="F64" s="387" t="n"/>
      <c r="G64" s="387" t="n"/>
      <c r="H64" s="387" t="n"/>
      <c r="I64" s="387" t="n"/>
      <c r="J64" s="387" t="n"/>
      <c r="K64" s="387" t="n"/>
      <c r="L64" s="387" t="n"/>
      <c r="M64" s="387" t="n"/>
      <c r="N64" s="406" t="n"/>
    </row>
    <row r="65" ht="33" customHeight="1">
      <c r="A65" s="188" t="n">
        <v>30</v>
      </c>
      <c r="B65" s="63">
        <f>IF('0 AVAL'!B65 = "", "", '0 AVAL'!B65)</f>
        <v/>
      </c>
      <c r="C65" s="63">
        <f>IF('0 AVAL'!C65 = "", "", '0 AVAL'!C65)</f>
        <v/>
      </c>
      <c r="D65" s="63" t="n"/>
      <c r="E65" s="417" t="n"/>
      <c r="F65" s="387" t="n"/>
      <c r="G65" s="387" t="n"/>
      <c r="H65" s="387" t="n"/>
      <c r="I65" s="387" t="n"/>
      <c r="J65" s="387" t="n"/>
      <c r="K65" s="387" t="n"/>
      <c r="L65" s="387" t="n"/>
      <c r="M65" s="387" t="n"/>
      <c r="N65" s="406" t="n"/>
    </row>
    <row r="66" ht="33" customHeight="1">
      <c r="A66" s="188" t="n">
        <v>31</v>
      </c>
      <c r="B66" s="63">
        <f>IF('0 AVAL'!B66 = "", "", '0 AVAL'!B66)</f>
        <v/>
      </c>
      <c r="C66" s="63">
        <f>IF('0 AVAL'!C66 = "", "", '0 AVAL'!C66)</f>
        <v/>
      </c>
      <c r="D66" s="63" t="n"/>
      <c r="E66" s="271" t="n"/>
      <c r="F66" s="272" t="n"/>
      <c r="G66" s="272" t="n"/>
      <c r="H66" s="272" t="n"/>
      <c r="I66" s="272" t="n"/>
      <c r="J66" s="272" t="n"/>
      <c r="K66" s="272" t="n"/>
      <c r="L66" s="272" t="n"/>
      <c r="M66" s="272" t="n"/>
      <c r="N66" s="273" t="n"/>
    </row>
    <row r="67" ht="33" customHeight="1">
      <c r="A67" s="188" t="n">
        <v>32</v>
      </c>
      <c r="B67" s="63">
        <f>IF('0 AVAL'!B67 = "", "", '0 AVAL'!B67)</f>
        <v/>
      </c>
      <c r="C67" s="63">
        <f>IF('0 AVAL'!C67 = "", "", '0 AVAL'!C67)</f>
        <v/>
      </c>
      <c r="D67" s="63" t="n"/>
      <c r="E67" s="271" t="n"/>
      <c r="F67" s="272" t="n"/>
      <c r="G67" s="272" t="n"/>
      <c r="H67" s="272" t="n"/>
      <c r="I67" s="272" t="n"/>
      <c r="J67" s="272" t="n"/>
      <c r="K67" s="272" t="n"/>
      <c r="L67" s="272" t="n"/>
      <c r="M67" s="272" t="n"/>
      <c r="N67" s="273" t="n"/>
    </row>
    <row r="68" ht="33" customHeight="1">
      <c r="A68" s="188" t="n">
        <v>33</v>
      </c>
      <c r="B68" s="63">
        <f>IF('0 AVAL'!B68 = "", "", '0 AVAL'!B68)</f>
        <v/>
      </c>
      <c r="C68" s="63">
        <f>IF('0 AVAL'!C68 = "", "", '0 AVAL'!C68)</f>
        <v/>
      </c>
      <c r="D68" s="63" t="n"/>
      <c r="E68" s="271" t="n"/>
      <c r="F68" s="272" t="n"/>
      <c r="G68" s="272" t="n"/>
      <c r="H68" s="272" t="n"/>
      <c r="I68" s="272" t="n"/>
      <c r="J68" s="272" t="n"/>
      <c r="K68" s="272" t="n"/>
      <c r="L68" s="272" t="n"/>
      <c r="M68" s="272" t="n"/>
      <c r="N68" s="273" t="n"/>
    </row>
    <row r="69" ht="33" customHeight="1">
      <c r="A69" s="188" t="n">
        <v>34</v>
      </c>
      <c r="B69" s="63">
        <f>IF('0 AVAL'!B69 = "", "", '0 AVAL'!B69)</f>
        <v/>
      </c>
      <c r="C69" s="63">
        <f>IF('0 AVAL'!C69 = "", "", '0 AVAL'!C69)</f>
        <v/>
      </c>
      <c r="D69" s="63" t="n"/>
      <c r="E69" s="271" t="n"/>
      <c r="F69" s="272" t="n"/>
      <c r="G69" s="272" t="n"/>
      <c r="H69" s="272" t="n"/>
      <c r="I69" s="272" t="n"/>
      <c r="J69" s="272" t="n"/>
      <c r="K69" s="272" t="n"/>
      <c r="L69" s="272" t="n"/>
      <c r="M69" s="272" t="n"/>
      <c r="N69" s="273" t="n"/>
    </row>
    <row r="70" ht="33" customHeight="1">
      <c r="A70" s="188" t="n">
        <v>35</v>
      </c>
      <c r="B70" s="63">
        <f>IF('0 AVAL'!B70 = "", "", '0 AVAL'!B70)</f>
        <v/>
      </c>
      <c r="C70" s="63">
        <f>IF('0 AVAL'!C70 = "", "", '0 AVAL'!C70)</f>
        <v/>
      </c>
      <c r="D70" s="63" t="n"/>
      <c r="E70" s="271" t="n"/>
      <c r="F70" s="272" t="n"/>
      <c r="G70" s="272" t="n"/>
      <c r="H70" s="272" t="n"/>
      <c r="I70" s="272" t="n"/>
      <c r="J70" s="272" t="n"/>
      <c r="K70" s="272" t="n"/>
      <c r="L70" s="272" t="n"/>
      <c r="M70" s="272" t="n"/>
      <c r="N70" s="273" t="n"/>
    </row>
    <row r="71" ht="33" customHeight="1">
      <c r="A71" s="188" t="n">
        <v>36</v>
      </c>
      <c r="B71" s="63">
        <f>IF('0 AVAL'!B71 = "", "", '0 AVAL'!B71)</f>
        <v/>
      </c>
      <c r="C71" s="63">
        <f>IF('0 AVAL'!C71 = "", "", '0 AVAL'!C71)</f>
        <v/>
      </c>
      <c r="D71" s="63" t="n"/>
      <c r="E71" s="417" t="n"/>
      <c r="F71" s="387" t="n"/>
      <c r="G71" s="387" t="n"/>
      <c r="H71" s="387" t="n"/>
      <c r="I71" s="387" t="n"/>
      <c r="J71" s="387" t="n"/>
      <c r="K71" s="387" t="n"/>
      <c r="L71" s="387" t="n"/>
      <c r="M71" s="387" t="n"/>
      <c r="N71" s="406" t="n"/>
    </row>
    <row r="72" ht="33" customHeight="1">
      <c r="A72" s="188" t="n">
        <v>37</v>
      </c>
      <c r="B72" s="63">
        <f>IF('0 AVAL'!B72 = "", "", '0 AVAL'!B72)</f>
        <v/>
      </c>
      <c r="C72" s="63">
        <f>IF('0 AVAL'!C72 = "", "", '0 AVAL'!C72)</f>
        <v/>
      </c>
      <c r="D72" s="63" t="n"/>
      <c r="E72" s="417" t="n"/>
      <c r="F72" s="387" t="n"/>
      <c r="G72" s="387" t="n"/>
      <c r="H72" s="387" t="n"/>
      <c r="I72" s="387" t="n"/>
      <c r="J72" s="387" t="n"/>
      <c r="K72" s="387" t="n"/>
      <c r="L72" s="387" t="n"/>
      <c r="M72" s="387" t="n"/>
      <c r="N72" s="406" t="n"/>
    </row>
    <row r="73" ht="33" customHeight="1">
      <c r="A73" s="188" t="n">
        <v>38</v>
      </c>
      <c r="B73" s="63">
        <f>IF('0 AVAL'!B73 = "", "", '0 AVAL'!B73)</f>
        <v/>
      </c>
      <c r="C73" s="63">
        <f>IF('0 AVAL'!C73 = "", "", '0 AVAL'!C73)</f>
        <v/>
      </c>
      <c r="D73" s="63" t="n"/>
      <c r="E73" s="417" t="n"/>
      <c r="F73" s="387" t="n"/>
      <c r="G73" s="387" t="n"/>
      <c r="H73" s="387" t="n"/>
      <c r="I73" s="387" t="n"/>
      <c r="J73" s="387" t="n"/>
      <c r="K73" s="387" t="n"/>
      <c r="L73" s="387" t="n"/>
      <c r="M73" s="387" t="n"/>
      <c r="N73" s="406" t="n"/>
    </row>
    <row r="74" ht="33" customHeight="1">
      <c r="A74" s="188" t="n">
        <v>39</v>
      </c>
      <c r="B74" s="63">
        <f>IF('0 AVAL'!B74 = "", "", '0 AVAL'!B74)</f>
        <v/>
      </c>
      <c r="C74" s="63">
        <f>IF('0 AVAL'!C74 = "", "", '0 AVAL'!C74)</f>
        <v/>
      </c>
      <c r="D74" s="63" t="n"/>
      <c r="E74" s="417" t="n"/>
      <c r="F74" s="387" t="n"/>
      <c r="G74" s="387" t="n"/>
      <c r="H74" s="387" t="n"/>
      <c r="I74" s="387" t="n"/>
      <c r="J74" s="387" t="n"/>
      <c r="K74" s="387" t="n"/>
      <c r="L74" s="387" t="n"/>
      <c r="M74" s="387" t="n"/>
      <c r="N74" s="406" t="n"/>
    </row>
    <row r="75" ht="33" customHeight="1">
      <c r="A75" s="188" t="n">
        <v>40</v>
      </c>
      <c r="B75" s="63">
        <f>IF('0 AVAL'!B75 = "", "", '0 AVAL'!B75)</f>
        <v/>
      </c>
      <c r="C75" s="63">
        <f>IF('0 AVAL'!C75 = "", "", '0 AVAL'!C75)</f>
        <v/>
      </c>
      <c r="D75" s="63" t="n"/>
      <c r="E75" s="417" t="n"/>
      <c r="F75" s="387" t="n"/>
      <c r="G75" s="387" t="n"/>
      <c r="H75" s="387" t="n"/>
      <c r="I75" s="387" t="n"/>
      <c r="J75" s="387" t="n"/>
      <c r="K75" s="387" t="n"/>
      <c r="L75" s="387" t="n"/>
      <c r="M75" s="387" t="n"/>
      <c r="N75" s="406" t="n"/>
    </row>
    <row r="76" ht="36" customHeight="1" thickBot="1"/>
    <row r="77" ht="21.4" customFormat="1" customHeight="1" s="37" thickBot="1">
      <c r="B77" s="418" t="inlineStr">
        <is>
          <t>5- Seguiments d'acords i mesures adoptades de manera consensuada per l'equip docent en anteriors reunions</t>
        </is>
      </c>
      <c r="C77" s="419" t="n"/>
      <c r="D77" s="419" t="n"/>
      <c r="E77" s="419" t="n"/>
      <c r="F77" s="419" t="n"/>
      <c r="G77" s="419" t="n"/>
      <c r="H77" s="419" t="n"/>
      <c r="I77" s="419" t="n"/>
      <c r="J77" s="419" t="n"/>
      <c r="K77" s="419" t="n"/>
      <c r="L77" s="419" t="n"/>
      <c r="M77" s="419" t="n"/>
      <c r="N77" s="420" t="n"/>
    </row>
    <row r="78">
      <c r="B78" s="2" t="n"/>
      <c r="C78" s="2" t="n"/>
      <c r="D78" s="2" t="n"/>
      <c r="E78" s="2" t="n"/>
      <c r="F78" s="2" t="n"/>
      <c r="G78" s="2" t="n"/>
      <c r="H78" s="2" t="n"/>
      <c r="I78" s="2" t="n"/>
      <c r="J78" s="309" t="inlineStr">
        <is>
          <t>Seguiment</t>
        </is>
      </c>
      <c r="K78" s="309" t="inlineStr">
        <is>
          <t>Observacions</t>
        </is>
      </c>
      <c r="L78" s="309" t="n"/>
      <c r="M78" s="309" t="n"/>
      <c r="N78" s="309" t="n"/>
    </row>
    <row r="79" ht="15.6" customHeight="1">
      <c r="A79" s="86" t="n">
        <v>1</v>
      </c>
      <c r="B79" s="278" t="inlineStr"/>
      <c r="C79" s="387" t="n"/>
      <c r="D79" s="387" t="n"/>
      <c r="E79" s="387" t="n"/>
      <c r="F79" s="387" t="n"/>
      <c r="G79" s="387" t="n"/>
      <c r="H79" s="387" t="n"/>
      <c r="I79" s="387" t="n"/>
      <c r="J79" s="87" t="n"/>
      <c r="K79" s="279" t="n"/>
      <c r="L79" s="387" t="n"/>
      <c r="M79" s="387" t="n"/>
      <c r="N79" s="387" t="n"/>
    </row>
    <row r="80" ht="15.6" customHeight="1">
      <c r="A80" s="86" t="n">
        <v>2</v>
      </c>
      <c r="B80" s="280" t="inlineStr"/>
      <c r="C80" s="394" t="n"/>
      <c r="D80" s="394" t="n"/>
      <c r="E80" s="394" t="n"/>
      <c r="F80" s="394" t="n"/>
      <c r="G80" s="394" t="n"/>
      <c r="H80" s="394" t="n"/>
      <c r="I80" s="394" t="n"/>
      <c r="J80" s="87" t="n"/>
      <c r="K80" s="279" t="n"/>
      <c r="L80" s="387" t="n"/>
      <c r="M80" s="387" t="n"/>
      <c r="N80" s="387" t="n"/>
    </row>
    <row r="81">
      <c r="A81" s="86" t="n">
        <v>3</v>
      </c>
      <c r="B81" s="280" t="inlineStr"/>
      <c r="C81" s="394" t="n"/>
      <c r="D81" s="394" t="n"/>
      <c r="E81" s="394" t="n"/>
      <c r="F81" s="394" t="n"/>
      <c r="G81" s="394" t="n"/>
      <c r="H81" s="394" t="n"/>
      <c r="I81" s="394" t="n"/>
      <c r="J81" s="87" t="n"/>
      <c r="K81" s="279" t="n"/>
      <c r="L81" s="387" t="n"/>
      <c r="M81" s="387" t="n"/>
      <c r="N81" s="387" t="n"/>
    </row>
    <row r="82">
      <c r="A82" s="86" t="n">
        <v>4</v>
      </c>
      <c r="B82" s="280" t="inlineStr"/>
      <c r="C82" s="394" t="n"/>
      <c r="D82" s="394" t="n"/>
      <c r="E82" s="394" t="n"/>
      <c r="F82" s="394" t="n"/>
      <c r="G82" s="394" t="n"/>
      <c r="H82" s="394" t="n"/>
      <c r="I82" s="394" t="n"/>
      <c r="J82" s="87" t="n"/>
      <c r="K82" s="279" t="n"/>
      <c r="L82" s="387" t="n"/>
      <c r="M82" s="387" t="n"/>
      <c r="N82" s="387" t="n"/>
    </row>
    <row r="83">
      <c r="A83" s="86" t="n">
        <v>5</v>
      </c>
      <c r="B83" s="280" t="inlineStr"/>
      <c r="C83" s="394" t="n"/>
      <c r="D83" s="394" t="n"/>
      <c r="E83" s="394" t="n"/>
      <c r="F83" s="394" t="n"/>
      <c r="G83" s="394" t="n"/>
      <c r="H83" s="394" t="n"/>
      <c r="I83" s="394" t="n"/>
      <c r="J83" s="87" t="n"/>
      <c r="K83" s="279" t="n"/>
      <c r="L83" s="387" t="n"/>
      <c r="M83" s="387" t="n"/>
      <c r="N83" s="387" t="n"/>
    </row>
    <row r="84">
      <c r="A84" s="86" t="n">
        <v>6</v>
      </c>
      <c r="B84" s="280" t="inlineStr"/>
      <c r="C84" s="394" t="n"/>
      <c r="D84" s="394" t="n"/>
      <c r="E84" s="394" t="n"/>
      <c r="F84" s="394" t="n"/>
      <c r="G84" s="394" t="n"/>
      <c r="H84" s="394" t="n"/>
      <c r="I84" s="394" t="n"/>
      <c r="J84" s="87" t="n"/>
      <c r="K84" s="279" t="n"/>
      <c r="L84" s="387" t="n"/>
      <c r="M84" s="387" t="n"/>
      <c r="N84" s="387" t="n"/>
    </row>
    <row r="85" ht="16.15" customHeight="1" thickBot="1">
      <c r="A85" s="86" t="n">
        <v>7</v>
      </c>
      <c r="B85" s="285" t="inlineStr"/>
      <c r="C85" s="403" t="n"/>
      <c r="D85" s="403" t="n"/>
      <c r="E85" s="403" t="n"/>
      <c r="F85" s="403" t="n"/>
      <c r="G85" s="403" t="n"/>
      <c r="H85" s="403" t="n"/>
      <c r="I85" s="403" t="n"/>
      <c r="J85" s="353" t="n"/>
      <c r="K85" s="286" t="n"/>
      <c r="L85" s="388" t="n"/>
      <c r="M85" s="388" t="n"/>
      <c r="N85" s="388" t="n"/>
    </row>
    <row r="86" ht="36" customHeight="1" thickBot="1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 ht="21.4" customFormat="1" customHeight="1" s="37" thickBot="1">
      <c r="B87" s="418" t="inlineStr">
        <is>
          <t>6- Acords adoptats de caràcter col·legiat per l'equip docent</t>
        </is>
      </c>
      <c r="C87" s="419" t="n"/>
      <c r="D87" s="419" t="n"/>
      <c r="E87" s="419" t="n"/>
      <c r="F87" s="419" t="n"/>
      <c r="G87" s="419" t="n"/>
      <c r="H87" s="419" t="n"/>
      <c r="I87" s="419" t="n"/>
      <c r="J87" s="419" t="n"/>
      <c r="K87" s="419" t="n"/>
      <c r="L87" s="419" t="n"/>
      <c r="M87" s="419" t="n"/>
      <c r="N87" s="420" t="n"/>
    </row>
    <row r="88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 ht="30.75" customHeight="1">
      <c r="A89" s="86" t="n">
        <v>1</v>
      </c>
      <c r="B89" s="281">
        <f>IF(ACORDS!E17 = "", "", ACORDS!E17)</f>
        <v/>
      </c>
      <c r="C89" s="387" t="n"/>
      <c r="D89" s="387" t="n"/>
      <c r="E89" s="387" t="n"/>
      <c r="F89" s="387" t="n"/>
      <c r="G89" s="387" t="n"/>
      <c r="H89" s="387" t="n"/>
      <c r="I89" s="387" t="n"/>
      <c r="J89" s="421" t="inlineStr">
        <is>
          <t xml:space="preserve">Acta elaborada per: XXXXX. XX:XXh </t>
        </is>
      </c>
      <c r="K89" s="398" t="n"/>
      <c r="L89" s="398" t="n"/>
      <c r="M89" s="398" t="n"/>
      <c r="N89" s="399" t="n"/>
    </row>
    <row r="90" ht="30.75" customHeight="1">
      <c r="A90" s="86" t="n">
        <v>2</v>
      </c>
      <c r="B90" s="281">
        <f>IF(ACORDS!E18 = "", "", ACORDS!E18)</f>
        <v/>
      </c>
      <c r="C90" s="387" t="n"/>
      <c r="D90" s="387" t="n"/>
      <c r="E90" s="387" t="n"/>
      <c r="F90" s="387" t="n"/>
      <c r="G90" s="387" t="n"/>
      <c r="H90" s="387" t="n"/>
      <c r="I90" s="387" t="n"/>
      <c r="J90" s="400" t="n"/>
      <c r="N90" s="401" t="n"/>
    </row>
    <row r="91" ht="30.75" customHeight="1">
      <c r="A91" s="86" t="n">
        <v>3</v>
      </c>
      <c r="B91" s="281">
        <f>IF(ACORDS!E19 = "", "", ACORDS!E19)</f>
        <v/>
      </c>
      <c r="C91" s="387" t="n"/>
      <c r="D91" s="387" t="n"/>
      <c r="E91" s="387" t="n"/>
      <c r="F91" s="387" t="n"/>
      <c r="G91" s="387" t="n"/>
      <c r="H91" s="387" t="n"/>
      <c r="I91" s="387" t="n"/>
      <c r="J91" s="400" t="n"/>
      <c r="N91" s="401" t="n"/>
    </row>
    <row r="92" ht="30.75" customHeight="1">
      <c r="A92" s="86" t="n">
        <v>4</v>
      </c>
      <c r="B92" s="281">
        <f>IF(ACORDS!E20 = "", "", ACORDS!E20)</f>
        <v/>
      </c>
      <c r="C92" s="387" t="n"/>
      <c r="D92" s="387" t="n"/>
      <c r="E92" s="387" t="n"/>
      <c r="F92" s="387" t="n"/>
      <c r="G92" s="387" t="n"/>
      <c r="H92" s="387" t="n"/>
      <c r="I92" s="387" t="n"/>
      <c r="J92" s="400" t="n"/>
      <c r="N92" s="401" t="n"/>
    </row>
    <row r="93" ht="30.75" customHeight="1">
      <c r="A93" s="86" t="n">
        <v>5</v>
      </c>
      <c r="B93" s="281">
        <f>IF(ACORDS!E21 = "", "", ACORDS!E21)</f>
        <v/>
      </c>
      <c r="C93" s="387" t="n"/>
      <c r="D93" s="387" t="n"/>
      <c r="E93" s="387" t="n"/>
      <c r="F93" s="387" t="n"/>
      <c r="G93" s="387" t="n"/>
      <c r="H93" s="387" t="n"/>
      <c r="I93" s="387" t="n"/>
      <c r="J93" s="400" t="n"/>
      <c r="N93" s="401" t="n"/>
    </row>
    <row r="94" ht="30.75" customHeight="1">
      <c r="A94" s="86" t="n">
        <v>6</v>
      </c>
      <c r="B94" s="281">
        <f>IF(ACORDS!E22 = "", "", ACORDS!E22)</f>
        <v/>
      </c>
      <c r="C94" s="387" t="n"/>
      <c r="D94" s="387" t="n"/>
      <c r="E94" s="387" t="n"/>
      <c r="F94" s="387" t="n"/>
      <c r="G94" s="387" t="n"/>
      <c r="H94" s="387" t="n"/>
      <c r="I94" s="387" t="n"/>
      <c r="J94" s="400" t="n"/>
      <c r="N94" s="401" t="n"/>
    </row>
    <row r="95" ht="30.75" customHeight="1" thickBot="1">
      <c r="A95" s="86" t="n">
        <v>7</v>
      </c>
      <c r="B95" s="281">
        <f>IF(ACORDS!E23 = "", "", ACORDS!E23)</f>
        <v/>
      </c>
      <c r="C95" s="387" t="n"/>
      <c r="D95" s="387" t="n"/>
      <c r="E95" s="387" t="n"/>
      <c r="F95" s="387" t="n"/>
      <c r="G95" s="387" t="n"/>
      <c r="H95" s="387" t="n"/>
      <c r="I95" s="387" t="n"/>
      <c r="J95" s="402" t="n"/>
      <c r="K95" s="403" t="n"/>
      <c r="L95" s="403" t="n"/>
      <c r="M95" s="403" t="n"/>
      <c r="N95" s="404" t="n"/>
    </row>
    <row r="96">
      <c r="B96" s="282" t="inlineStr">
        <is>
          <t>En aquest document s'està realitzant un tractament de dades de l'alumnat que està regulat per la normativa vigent en matèria de Protecció de Dades de Caràcter Personal (LOPD 3/2018 i Resolució Conselleria
Educació, Investigació, Cultura i Esport del 28/6/2018). Recorda que les dades han de ser tractats de manera responsable i que has de guardar secret professional i no cedir o divulgar les dades ací contingudes.</t>
        </is>
      </c>
      <c r="C96" s="386" t="n"/>
      <c r="D96" s="386" t="n"/>
      <c r="E96" s="386" t="n"/>
      <c r="F96" s="386" t="n"/>
      <c r="G96" s="386" t="n"/>
      <c r="H96" s="386" t="n"/>
      <c r="I96" s="386" t="n"/>
      <c r="J96" s="386" t="n"/>
      <c r="K96" s="386" t="n"/>
      <c r="L96" s="386" t="n"/>
      <c r="M96" s="386" t="n"/>
      <c r="N96" s="386" t="n"/>
    </row>
    <row r="97"/>
  </sheetData>
  <mergeCells count="90">
    <mergeCell ref="D2:F6"/>
    <mergeCell ref="E57:N57"/>
    <mergeCell ref="B31:C31"/>
    <mergeCell ref="E58:N58"/>
    <mergeCell ref="J5:M5"/>
    <mergeCell ref="E42:N42"/>
    <mergeCell ref="B22:N22"/>
    <mergeCell ref="G2:G6"/>
    <mergeCell ref="B82:I82"/>
    <mergeCell ref="B12:N12"/>
    <mergeCell ref="E44:N44"/>
    <mergeCell ref="B14:N14"/>
    <mergeCell ref="B83:I83"/>
    <mergeCell ref="J89:N95"/>
    <mergeCell ref="J4:M4"/>
    <mergeCell ref="E59:N59"/>
    <mergeCell ref="B26:C26"/>
    <mergeCell ref="B85:I85"/>
    <mergeCell ref="B87:N87"/>
    <mergeCell ref="E46:N46"/>
    <mergeCell ref="E61:N61"/>
    <mergeCell ref="B33:N33"/>
    <mergeCell ref="B27:C27"/>
    <mergeCell ref="E54:N54"/>
    <mergeCell ref="E72:N72"/>
    <mergeCell ref="E41:N41"/>
    <mergeCell ref="E47:N47"/>
    <mergeCell ref="E56:N56"/>
    <mergeCell ref="B2:C6"/>
    <mergeCell ref="E43:N43"/>
    <mergeCell ref="K80:N80"/>
    <mergeCell ref="G26:N31"/>
    <mergeCell ref="B29:C29"/>
    <mergeCell ref="K79:N79"/>
    <mergeCell ref="E73:N73"/>
    <mergeCell ref="E35:N35"/>
    <mergeCell ref="B77:N77"/>
    <mergeCell ref="B11:N11"/>
    <mergeCell ref="E63:N63"/>
    <mergeCell ref="K81:N81"/>
    <mergeCell ref="E60:N60"/>
    <mergeCell ref="E74:N74"/>
    <mergeCell ref="G32:K32"/>
    <mergeCell ref="J2:N2"/>
    <mergeCell ref="E36:N36"/>
    <mergeCell ref="E45:N45"/>
    <mergeCell ref="B91:I91"/>
    <mergeCell ref="J3:M3"/>
    <mergeCell ref="K82:N82"/>
    <mergeCell ref="B96:N97"/>
    <mergeCell ref="B15:N15"/>
    <mergeCell ref="B24:N24"/>
    <mergeCell ref="B93:I93"/>
    <mergeCell ref="E37:N37"/>
    <mergeCell ref="K83:N83"/>
    <mergeCell ref="E62:N62"/>
    <mergeCell ref="E71:N71"/>
    <mergeCell ref="B18:N18"/>
    <mergeCell ref="E64:N64"/>
    <mergeCell ref="B28:C28"/>
    <mergeCell ref="E51:N51"/>
    <mergeCell ref="B30:C30"/>
    <mergeCell ref="B95:I95"/>
    <mergeCell ref="B89:I89"/>
    <mergeCell ref="E65:N65"/>
    <mergeCell ref="B79:I79"/>
    <mergeCell ref="E49:N49"/>
    <mergeCell ref="B9:N9"/>
    <mergeCell ref="B81:I81"/>
    <mergeCell ref="B90:I90"/>
    <mergeCell ref="B20:N20"/>
    <mergeCell ref="E75:N75"/>
    <mergeCell ref="E53:N53"/>
    <mergeCell ref="E50:N50"/>
    <mergeCell ref="D32:E32"/>
    <mergeCell ref="E55:N55"/>
    <mergeCell ref="E52:N52"/>
    <mergeCell ref="E39:N39"/>
    <mergeCell ref="E48:N48"/>
    <mergeCell ref="J6:M6"/>
    <mergeCell ref="K85:N85"/>
    <mergeCell ref="E38:N38"/>
    <mergeCell ref="B84:I84"/>
    <mergeCell ref="B92:I92"/>
    <mergeCell ref="K84:N84"/>
    <mergeCell ref="E40:N40"/>
    <mergeCell ref="B17:N17"/>
    <mergeCell ref="B80:I80"/>
    <mergeCell ref="B94:I94"/>
    <mergeCell ref="J7:M7"/>
  </mergeCells>
  <conditionalFormatting sqref="D32">
    <cfRule type="containsText" priority="1" operator="containsText" dxfId="33" text="Revisar núm.">
      <formula>NOT(ISERROR(SEARCH("Revisar núm.",D32)))</formula>
    </cfRule>
  </conditionalFormatting>
  <conditionalFormatting sqref="J79:J85">
    <cfRule type="containsText" priority="2" operator="containsText" dxfId="2" text="No">
      <formula>NOT(ISERROR(SEARCH("No",J79)))</formula>
    </cfRule>
    <cfRule type="containsText" priority="3" operator="containsText" dxfId="1" text="Procés">
      <formula>NOT(ISERROR(SEARCH("Procés",J79)))</formula>
    </cfRule>
    <cfRule type="containsText" priority="4" operator="containsText" dxfId="0" text="Fet">
      <formula>NOT(ISERROR(SEARCH("Fet",J79)))</formula>
    </cfRule>
  </conditionalFormatting>
  <dataValidations count="2">
    <dataValidation sqref="J6:M6" showDropDown="0" showInputMessage="1" showErrorMessage="1" allowBlank="1"/>
    <dataValidation sqref="J7" showDropDown="0" showInputMessage="1" showErrorMessage="1" allowBlank="1" type="date">
      <formula1>45170</formula1>
      <formula2>47664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G22" workbookViewId="0">
      <selection activeCell="M30" sqref="M30"/>
    </sheetView>
  </sheetViews>
  <sheetFormatPr baseColWidth="10" defaultColWidth="0" defaultRowHeight="15.75" zeroHeight="1"/>
  <cols>
    <col width="3.59765625" customWidth="1" style="297" min="1" max="1"/>
    <col width="21.73046875" customWidth="1" style="297" min="2" max="2"/>
    <col width="25.265625" customWidth="1" style="297" min="3" max="3"/>
    <col width="12.59765625" customWidth="1" style="297" min="4" max="8"/>
    <col width="17.265625" customWidth="1" style="297" min="9" max="9"/>
    <col width="15.86328125" customWidth="1" style="297" min="10" max="11"/>
    <col width="12.59765625" customWidth="1" style="297" min="12" max="14"/>
    <col width="3.59765625" customWidth="1" style="297" min="15" max="15"/>
    <col hidden="1" width="9.1328125" customWidth="1" style="297" min="16" max="22"/>
    <col hidden="1" width="4.3984375" customWidth="1" style="297" min="23" max="181"/>
    <col hidden="1" style="297" min="182" max="16383"/>
    <col hidden="1" width="5.73046875" customWidth="1" style="297" min="16384" max="16384"/>
  </cols>
  <sheetData>
    <row r="1" ht="15.75" customHeight="1">
      <c r="B1" s="89" t="n"/>
      <c r="C1" s="89" t="n"/>
      <c r="D1" s="89" t="n"/>
      <c r="E1" s="89" t="n"/>
      <c r="F1" s="89" t="n"/>
      <c r="G1" s="89" t="n"/>
      <c r="H1" s="89" t="n"/>
      <c r="I1" s="90" t="inlineStr">
        <is>
          <t>PC03.F01 Acta d'avaluació Ed.02 - Setem.25</t>
        </is>
      </c>
      <c r="J1" s="90" t="n"/>
      <c r="K1" s="90" t="n"/>
      <c r="L1" s="91" t="n"/>
      <c r="M1" s="90" t="n"/>
    </row>
    <row r="2" ht="15.75" customHeight="1">
      <c r="B2" s="296" t="e">
        <v>#VALUE!</v>
      </c>
      <c r="D2" s="296" t="e">
        <v>#VALUE!</v>
      </c>
      <c r="G2" s="296" t="n"/>
      <c r="H2" s="296" t="n"/>
      <c r="J2" s="297" t="n"/>
    </row>
    <row r="3" ht="15.75" customHeight="1">
      <c r="H3" s="296" t="n"/>
      <c r="I3" s="70" t="inlineStr">
        <is>
          <t>GRUP</t>
        </is>
      </c>
      <c r="J3" s="198">
        <f>IF(INDEX!G3 = "", "", INDEX!G3)</f>
        <v/>
      </c>
      <c r="K3" s="387" t="n"/>
      <c r="L3" s="387" t="n"/>
      <c r="M3" s="387" t="n"/>
    </row>
    <row r="4" ht="15.75" customHeight="1">
      <c r="H4" s="296" t="n"/>
      <c r="I4" s="317" t="inlineStr">
        <is>
          <t>TUTOR/A</t>
        </is>
      </c>
      <c r="J4" s="198">
        <f>IF(INDEX!G4 = "", "", INDEX!G4)</f>
        <v/>
      </c>
      <c r="K4" s="387" t="n"/>
      <c r="L4" s="387" t="n"/>
      <c r="M4" s="387" t="n"/>
    </row>
    <row r="5" ht="15.75" customHeight="1" thickBot="1">
      <c r="H5" s="296" t="n"/>
      <c r="I5" s="71" t="inlineStr">
        <is>
          <t>CURS ESCOLAR</t>
        </is>
      </c>
      <c r="J5" s="199">
        <f>INDEX!G5</f>
        <v/>
      </c>
      <c r="K5" s="388" t="n"/>
      <c r="L5" s="388" t="n"/>
      <c r="M5" s="388" t="n"/>
    </row>
    <row r="6" ht="15.75" customHeight="1" thickBot="1">
      <c r="H6" s="296" t="n"/>
      <c r="I6" s="314" t="inlineStr">
        <is>
          <t>AVALUACIÓ</t>
        </is>
      </c>
      <c r="J6" s="199" t="inlineStr">
        <is>
          <t>Segona parcial</t>
        </is>
      </c>
      <c r="K6" s="388" t="n"/>
      <c r="L6" s="388" t="n"/>
      <c r="M6" s="388" t="n"/>
    </row>
    <row r="7">
      <c r="B7" s="89" t="n"/>
      <c r="C7" s="89" t="n"/>
      <c r="D7" s="296" t="n"/>
      <c r="E7" s="296" t="n"/>
      <c r="F7" s="296" t="n"/>
      <c r="G7" s="296" t="n"/>
      <c r="H7" s="296" t="n"/>
      <c r="I7" s="73" t="inlineStr">
        <is>
          <t>DATA SESSIÓ</t>
        </is>
      </c>
      <c r="J7" s="249" t="n"/>
      <c r="K7" s="386" t="n"/>
      <c r="L7" s="386" t="n"/>
      <c r="M7" s="386" t="n"/>
    </row>
    <row r="8" ht="27" customHeight="1"/>
    <row r="9" ht="21" customFormat="1" customHeight="1" s="93">
      <c r="B9" s="196" t="inlineStr">
        <is>
          <t>1- Informe sobre els aspectes generals del grup</t>
        </is>
      </c>
    </row>
    <row r="11" ht="15.6" customHeight="1">
      <c r="B11" s="250" t="inlineStr">
        <is>
          <t>Valoració de l'assistència i puntualitat a classe. Gestió del temps i compromís amb l'aprenentatge.</t>
        </is>
      </c>
    </row>
    <row r="12" ht="56.25" customHeight="1">
      <c r="B12" s="405" t="n"/>
      <c r="C12" s="387" t="n"/>
      <c r="D12" s="387" t="n"/>
      <c r="E12" s="387" t="n"/>
      <c r="F12" s="387" t="n"/>
      <c r="G12" s="387" t="n"/>
      <c r="H12" s="387" t="n"/>
      <c r="I12" s="387" t="n"/>
      <c r="J12" s="387" t="n"/>
      <c r="K12" s="387" t="n"/>
      <c r="L12" s="387" t="n"/>
      <c r="M12" s="387" t="n"/>
      <c r="N12" s="406" t="n"/>
    </row>
    <row r="13" ht="27" customHeight="1">
      <c r="B13" s="248" t="n"/>
      <c r="C13" s="248" t="n"/>
      <c r="D13" s="248" t="n"/>
      <c r="E13" s="248" t="n"/>
      <c r="F13" s="248" t="n"/>
      <c r="G13" s="248" t="n"/>
      <c r="H13" s="248" t="n"/>
      <c r="I13" s="248" t="n"/>
      <c r="J13" s="248" t="n"/>
      <c r="K13" s="248" t="n"/>
      <c r="L13" s="248" t="n"/>
      <c r="M13" s="248" t="n"/>
    </row>
    <row r="14">
      <c r="B14" s="250" t="inlineStr">
        <is>
          <t>Valoració de les competències actitudinals i hàbits de treball.</t>
        </is>
      </c>
    </row>
    <row r="15" ht="56.25" customHeight="1">
      <c r="B15" s="405" t="n"/>
      <c r="C15" s="387" t="n"/>
      <c r="D15" s="387" t="n"/>
      <c r="E15" s="387" t="n"/>
      <c r="F15" s="387" t="n"/>
      <c r="G15" s="387" t="n"/>
      <c r="H15" s="387" t="n"/>
      <c r="I15" s="387" t="n"/>
      <c r="J15" s="387" t="n"/>
      <c r="K15" s="387" t="n"/>
      <c r="L15" s="387" t="n"/>
      <c r="M15" s="387" t="n"/>
      <c r="N15" s="406" t="n"/>
    </row>
    <row r="16" ht="27" customHeight="1"/>
    <row r="17">
      <c r="B17" s="250" t="inlineStr">
        <is>
          <t>Valoració de l'ambient de la classe, interacció entre l'alumnat: convivència, participació i la col·laboració.</t>
        </is>
      </c>
    </row>
    <row r="18" ht="56.25" customHeight="1">
      <c r="B18" s="405" t="n"/>
      <c r="C18" s="387" t="n"/>
      <c r="D18" s="387" t="n"/>
      <c r="E18" s="387" t="n"/>
      <c r="F18" s="387" t="n"/>
      <c r="G18" s="387" t="n"/>
      <c r="H18" s="387" t="n"/>
      <c r="I18" s="387" t="n"/>
      <c r="J18" s="387" t="n"/>
      <c r="K18" s="387" t="n"/>
      <c r="L18" s="387" t="n"/>
      <c r="M18" s="387" t="n"/>
      <c r="N18" s="406" t="n"/>
    </row>
    <row r="19" ht="27" customHeight="1"/>
    <row r="20" ht="21" customFormat="1" customHeight="1" s="93">
      <c r="B20" s="196" t="inlineStr">
        <is>
          <t>2- Informació traslladada per l'alumnat</t>
        </is>
      </c>
    </row>
    <row r="21">
      <c r="B21" s="248" t="inlineStr">
        <is>
          <t>Identificació de mòduls i resultats d'aprenentatge amb majors dificultats. Falta de desenvolupament de determinades competències.</t>
        </is>
      </c>
      <c r="C21" s="248" t="n"/>
      <c r="D21" s="248" t="n"/>
      <c r="E21" s="248" t="n"/>
      <c r="F21" s="248" t="n"/>
      <c r="G21" s="248" t="n"/>
      <c r="H21" s="248" t="n"/>
      <c r="I21" s="248" t="n"/>
      <c r="J21" s="248" t="n"/>
      <c r="K21" s="248" t="n"/>
      <c r="L21" s="248" t="n"/>
      <c r="M21" s="248" t="n"/>
    </row>
    <row r="22" ht="56.25" customHeight="1">
      <c r="B22" s="405" t="n"/>
      <c r="C22" s="387" t="n"/>
      <c r="D22" s="387" t="n"/>
      <c r="E22" s="387" t="n"/>
      <c r="F22" s="387" t="n"/>
      <c r="G22" s="387" t="n"/>
      <c r="H22" s="387" t="n"/>
      <c r="I22" s="387" t="n"/>
      <c r="J22" s="387" t="n"/>
      <c r="K22" s="387" t="n"/>
      <c r="L22" s="387" t="n"/>
      <c r="M22" s="406" t="n"/>
    </row>
    <row r="23" ht="27" customHeight="1"/>
    <row r="24" ht="21" customFormat="1" customHeight="1" s="93">
      <c r="B24" s="196" t="inlineStr">
        <is>
          <t>3- Estadístiques</t>
        </is>
      </c>
    </row>
    <row r="25">
      <c r="B25" s="74" t="inlineStr">
        <is>
          <t>Inclou el valor (número) en les cel·les ombrejades en roig</t>
        </is>
      </c>
      <c r="C25" s="94" t="n"/>
      <c r="D25" s="94" t="n"/>
      <c r="E25" s="94" t="n"/>
      <c r="F25" s="94" t="n"/>
      <c r="G25" s="94" t="n"/>
      <c r="H25" s="94" t="n"/>
      <c r="I25" s="94" t="n"/>
      <c r="J25" s="94" t="n"/>
      <c r="K25" s="94" t="n"/>
      <c r="L25" s="94" t="n"/>
      <c r="M25" s="95" t="n"/>
      <c r="N25" s="95" t="n"/>
    </row>
    <row r="26" ht="18.75" customHeight="1">
      <c r="B26" s="256" t="inlineStr">
        <is>
          <t>Núm. alumnat total grup</t>
        </is>
      </c>
      <c r="D26" s="54">
        <f>COUNTIFS($C$39:$C$78,"&lt;&gt;",$D$39:$D$78,"&lt;&gt;Baixa")-COUNTBLANK($C$39:$C$78)</f>
        <v/>
      </c>
      <c r="E26" s="78" t="inlineStr">
        <is>
          <t>% sobre total</t>
        </is>
      </c>
      <c r="F26" s="94" t="n"/>
      <c r="G26" s="96" t="inlineStr">
        <is>
          <t>Previsió alumnat amb condicions de no promocionar</t>
        </is>
      </c>
      <c r="I26" s="97" t="n"/>
      <c r="J26" s="97" t="n"/>
      <c r="L26" s="98" t="inlineStr">
        <is>
          <t>Núm. alu</t>
        </is>
      </c>
      <c r="M26" s="99" t="inlineStr">
        <is>
          <t>%</t>
        </is>
      </c>
      <c r="N26" s="81" t="n"/>
    </row>
    <row r="27" ht="18.75" customHeight="1">
      <c r="B27" s="256" t="inlineStr">
        <is>
          <t>Núm. baixes confirmades</t>
        </is>
      </c>
      <c r="D27" s="54">
        <f>COUNTIFS($D$39:$D$78,"Baixa")</f>
        <v/>
      </c>
      <c r="E27" s="79">
        <f>IFERROR(D27/$D$26,"-")</f>
        <v/>
      </c>
      <c r="F27" s="94" t="n"/>
      <c r="G27" s="100" t="inlineStr">
        <is>
          <t>Bàsica</t>
        </is>
      </c>
      <c r="H27" s="101" t="n"/>
      <c r="I27" s="101" t="n"/>
      <c r="J27" s="101" t="n"/>
      <c r="K27" s="101" t="n"/>
      <c r="L27" s="102" t="n">
        <v>0</v>
      </c>
      <c r="M27" s="103">
        <f>IFERROR(L27/$D$26,"-")</f>
        <v/>
      </c>
      <c r="N27" s="104" t="n"/>
    </row>
    <row r="28" ht="18.75" customHeight="1">
      <c r="B28" s="256" t="inlineStr">
        <is>
          <t>Núm. abandonaments</t>
        </is>
      </c>
      <c r="D28" s="56" t="n">
        <v>0</v>
      </c>
      <c r="E28" s="79">
        <f>IFERROR(D28/$D$26,"-")</f>
        <v/>
      </c>
      <c r="F28" s="94" t="n"/>
      <c r="G28" s="302" t="inlineStr">
        <is>
          <t>Els mòduls professionals pendents associats a estàndards de competència superen el 20% de l'horari setmanal i no s'ha superat almenys un dels àmbits distints del professional.</t>
        </is>
      </c>
      <c r="L28" s="105" t="n"/>
      <c r="M28" s="105" t="n"/>
      <c r="N28" s="105" t="n"/>
    </row>
    <row r="29" ht="18.75" customHeight="1">
      <c r="B29" s="256" t="inlineStr">
        <is>
          <t>Núm. alumnat NESE</t>
        </is>
      </c>
      <c r="D29" s="56" t="n">
        <v>0</v>
      </c>
      <c r="E29" s="79">
        <f>IFERROR(D29/$D$26,"-")</f>
        <v/>
      </c>
      <c r="F29" s="94" t="n"/>
      <c r="L29" s="98" t="inlineStr">
        <is>
          <t>Núm. alu</t>
        </is>
      </c>
      <c r="M29" s="99" t="inlineStr">
        <is>
          <t>%</t>
        </is>
      </c>
      <c r="N29" s="81" t="n"/>
    </row>
    <row r="30" ht="18.75" customHeight="1">
      <c r="B30" s="256" t="inlineStr">
        <is>
          <t>Núm. alumnat avaluat</t>
        </is>
      </c>
      <c r="D30" s="56" t="n">
        <v>0</v>
      </c>
      <c r="E30" s="79">
        <f>IFERROR(D30/$D$26,"-")</f>
        <v/>
      </c>
      <c r="F30" s="94" t="n"/>
      <c r="G30" s="100" t="inlineStr">
        <is>
          <t>Mitjà i superior</t>
        </is>
      </c>
      <c r="H30" s="101" t="n"/>
      <c r="I30" s="106" t="n"/>
      <c r="J30" s="106" t="n"/>
      <c r="K30" s="101" t="n"/>
      <c r="L30" s="102" t="n">
        <v>0</v>
      </c>
      <c r="M30" s="103">
        <f>IFERROR(L30/$D$26,"-")</f>
        <v/>
      </c>
      <c r="N30" s="81" t="n"/>
    </row>
    <row r="31" ht="18.75" customHeight="1">
      <c r="B31" s="256" t="inlineStr">
        <is>
          <t>Núm. alumnat no avaluat</t>
        </is>
      </c>
      <c r="D31" s="80" t="n">
        <v>0</v>
      </c>
      <c r="E31" s="79">
        <f>IFERROR(D31/$D$26,"-")</f>
        <v/>
      </c>
      <c r="F31" s="94" t="n"/>
      <c r="G31" s="422" t="inlineStr">
        <is>
          <t>No haver superat almenys el 80% del total de les hores lectives del primer curs - 200 hores</t>
        </is>
      </c>
      <c r="L31" s="99" t="n"/>
      <c r="M31" s="81" t="n"/>
      <c r="N31" s="81" t="n"/>
    </row>
    <row r="32" ht="18.75" customHeight="1">
      <c r="B32" s="256" t="n"/>
      <c r="C32" s="256" t="n"/>
      <c r="D32" s="99" t="n"/>
      <c r="E32" s="81" t="n"/>
      <c r="F32" s="94" t="n"/>
      <c r="G32" s="414" t="n"/>
      <c r="H32" s="414" t="n"/>
      <c r="I32" s="414" t="n"/>
      <c r="J32" s="414" t="n"/>
      <c r="K32" s="414" t="n"/>
      <c r="L32" s="99" t="n"/>
      <c r="M32" s="81" t="n"/>
      <c r="N32" s="81" t="n"/>
    </row>
    <row r="33" ht="18.75" customHeight="1">
      <c r="B33" s="256" t="n"/>
      <c r="C33" s="423" t="inlineStr">
        <is>
          <t>Observacions:</t>
        </is>
      </c>
      <c r="D33" s="409" t="n"/>
      <c r="E33" s="409" t="n"/>
      <c r="F33" s="409" t="n"/>
      <c r="G33" s="409" t="n"/>
      <c r="H33" s="409" t="n"/>
      <c r="I33" s="409" t="n"/>
      <c r="J33" s="409" t="n"/>
      <c r="K33" s="409" t="n"/>
      <c r="L33" s="409" t="n"/>
      <c r="M33" s="410" t="n"/>
      <c r="N33" s="81" t="n"/>
    </row>
    <row r="34" ht="18.75" customHeight="1">
      <c r="B34" s="256" t="n"/>
      <c r="C34" s="413" t="n"/>
      <c r="D34" s="414" t="n"/>
      <c r="E34" s="414" t="n"/>
      <c r="F34" s="414" t="n"/>
      <c r="G34" s="414" t="n"/>
      <c r="H34" s="414" t="n"/>
      <c r="I34" s="414" t="n"/>
      <c r="J34" s="414" t="n"/>
      <c r="K34" s="414" t="n"/>
      <c r="L34" s="414" t="n"/>
      <c r="M34" s="415" t="n"/>
      <c r="N34" s="81" t="n"/>
    </row>
    <row r="35" ht="27" customHeight="1"/>
    <row r="36" ht="21" customFormat="1" customHeight="1" s="93">
      <c r="B36" s="196" t="inlineStr">
        <is>
          <t>4- Anàlisi individual de l'alumnat</t>
        </is>
      </c>
    </row>
    <row r="38" ht="32.25" customFormat="1" customHeight="1" s="107">
      <c r="B38" s="63" t="inlineStr">
        <is>
          <t>NIA</t>
        </is>
      </c>
      <c r="C38" s="63" t="inlineStr">
        <is>
          <t>Alumne/a</t>
        </is>
      </c>
      <c r="D38" s="251" t="inlineStr">
        <is>
          <t>Estat 2nT</t>
        </is>
      </c>
      <c r="E38" s="252" t="inlineStr">
        <is>
          <t>Observacions individuals - Mesures d'atenció a la diversitat  - Eficàcia de les mesures - Avaluar el progrés de l'alumnat en la consecució dels RA i les competències professionals i per a l'ocupabilitat - Plans de recuperació - Pèrdua de l'avaluació contínua - No supera PRL</t>
        </is>
      </c>
      <c r="F38" s="387" t="n"/>
      <c r="G38" s="387" t="n"/>
      <c r="H38" s="387" t="n"/>
      <c r="I38" s="387" t="n"/>
      <c r="J38" s="387" t="n"/>
      <c r="K38" s="387" t="n"/>
      <c r="L38" s="387" t="n"/>
      <c r="M38" s="387" t="n"/>
      <c r="N38" s="406" t="n"/>
    </row>
    <row r="39" ht="33" customHeight="1">
      <c r="A39" s="107" t="n">
        <v>1</v>
      </c>
      <c r="B39" s="63">
        <f>IF('0 AVAL'!B36 = "", "", '0 AVAL'!B36)</f>
        <v/>
      </c>
      <c r="C39" s="63">
        <f>IF('0 AVAL'!C36 = "", "", '0 AVAL'!C36)</f>
        <v/>
      </c>
      <c r="D39" s="63" t="n"/>
      <c r="E39" s="417" t="n"/>
      <c r="F39" s="387" t="n"/>
      <c r="G39" s="387" t="n"/>
      <c r="H39" s="387" t="n"/>
      <c r="I39" s="387" t="n"/>
      <c r="J39" s="387" t="n"/>
      <c r="K39" s="387" t="n"/>
      <c r="L39" s="387" t="n"/>
      <c r="M39" s="387" t="n"/>
      <c r="N39" s="406" t="n"/>
    </row>
    <row r="40" ht="33" customHeight="1">
      <c r="A40" s="107" t="n">
        <v>2</v>
      </c>
      <c r="B40" s="63">
        <f>IF('0 AVAL'!B37 = "", "", '0 AVAL'!B37)</f>
        <v/>
      </c>
      <c r="C40" s="63">
        <f>IF('0 AVAL'!C37 = "", "", '0 AVAL'!C37)</f>
        <v/>
      </c>
      <c r="D40" s="63" t="n"/>
      <c r="E40" s="417" t="n"/>
      <c r="F40" s="387" t="n"/>
      <c r="G40" s="387" t="n"/>
      <c r="H40" s="387" t="n"/>
      <c r="I40" s="387" t="n"/>
      <c r="J40" s="387" t="n"/>
      <c r="K40" s="387" t="n"/>
      <c r="L40" s="387" t="n"/>
      <c r="M40" s="387" t="n"/>
      <c r="N40" s="406" t="n"/>
    </row>
    <row r="41" ht="33" customHeight="1">
      <c r="A41" s="107" t="n">
        <v>3</v>
      </c>
      <c r="B41" s="63">
        <f>IF('0 AVAL'!B38 = "", "", '0 AVAL'!B38)</f>
        <v/>
      </c>
      <c r="C41" s="63">
        <f>IF('0 AVAL'!C38 = "", "", '0 AVAL'!C38)</f>
        <v/>
      </c>
      <c r="D41" s="63" t="n"/>
      <c r="E41" s="417" t="n"/>
      <c r="F41" s="387" t="n"/>
      <c r="G41" s="387" t="n"/>
      <c r="H41" s="387" t="n"/>
      <c r="I41" s="387" t="n"/>
      <c r="J41" s="387" t="n"/>
      <c r="K41" s="387" t="n"/>
      <c r="L41" s="387" t="n"/>
      <c r="M41" s="387" t="n"/>
      <c r="N41" s="406" t="n"/>
    </row>
    <row r="42" ht="33" customHeight="1">
      <c r="A42" s="107" t="n">
        <v>4</v>
      </c>
      <c r="B42" s="63">
        <f>IF('0 AVAL'!B39 = "", "", '0 AVAL'!B39)</f>
        <v/>
      </c>
      <c r="C42" s="63">
        <f>IF('0 AVAL'!C39 = "", "", '0 AVAL'!C39)</f>
        <v/>
      </c>
      <c r="D42" s="63" t="n"/>
      <c r="E42" s="417" t="n"/>
      <c r="F42" s="387" t="n"/>
      <c r="G42" s="387" t="n"/>
      <c r="H42" s="387" t="n"/>
      <c r="I42" s="387" t="n"/>
      <c r="J42" s="387" t="n"/>
      <c r="K42" s="387" t="n"/>
      <c r="L42" s="387" t="n"/>
      <c r="M42" s="387" t="n"/>
      <c r="N42" s="406" t="n"/>
    </row>
    <row r="43" ht="33" customHeight="1">
      <c r="A43" s="107" t="n">
        <v>5</v>
      </c>
      <c r="B43" s="63">
        <f>IF('0 AVAL'!B40 = "", "", '0 AVAL'!B40)</f>
        <v/>
      </c>
      <c r="C43" s="63">
        <f>IF('0 AVAL'!C40 = "", "", '0 AVAL'!C40)</f>
        <v/>
      </c>
      <c r="D43" s="63" t="n"/>
      <c r="E43" s="417" t="n"/>
      <c r="F43" s="387" t="n"/>
      <c r="G43" s="387" t="n"/>
      <c r="H43" s="387" t="n"/>
      <c r="I43" s="387" t="n"/>
      <c r="J43" s="387" t="n"/>
      <c r="K43" s="387" t="n"/>
      <c r="L43" s="387" t="n"/>
      <c r="M43" s="387" t="n"/>
      <c r="N43" s="406" t="n"/>
    </row>
    <row r="44" ht="33" customHeight="1">
      <c r="A44" s="107" t="n">
        <v>6</v>
      </c>
      <c r="B44" s="63">
        <f>IF('0 AVAL'!B41 = "", "", '0 AVAL'!B41)</f>
        <v/>
      </c>
      <c r="C44" s="63">
        <f>IF('0 AVAL'!C41 = "", "", '0 AVAL'!C41)</f>
        <v/>
      </c>
      <c r="D44" s="63" t="n"/>
      <c r="E44" s="417" t="n"/>
      <c r="F44" s="387" t="n"/>
      <c r="G44" s="387" t="n"/>
      <c r="H44" s="387" t="n"/>
      <c r="I44" s="387" t="n"/>
      <c r="J44" s="387" t="n"/>
      <c r="K44" s="387" t="n"/>
      <c r="L44" s="387" t="n"/>
      <c r="M44" s="387" t="n"/>
      <c r="N44" s="406" t="n"/>
    </row>
    <row r="45" ht="33" customHeight="1">
      <c r="A45" s="107" t="n">
        <v>7</v>
      </c>
      <c r="B45" s="63">
        <f>IF('0 AVAL'!B42 = "", "", '0 AVAL'!B42)</f>
        <v/>
      </c>
      <c r="C45" s="63">
        <f>IF('0 AVAL'!C42 = "", "", '0 AVAL'!C42)</f>
        <v/>
      </c>
      <c r="D45" s="63" t="n"/>
      <c r="E45" s="417" t="n"/>
      <c r="F45" s="387" t="n"/>
      <c r="G45" s="387" t="n"/>
      <c r="H45" s="387" t="n"/>
      <c r="I45" s="387" t="n"/>
      <c r="J45" s="387" t="n"/>
      <c r="K45" s="387" t="n"/>
      <c r="L45" s="387" t="n"/>
      <c r="M45" s="387" t="n"/>
      <c r="N45" s="406" t="n"/>
    </row>
    <row r="46" ht="33" customHeight="1">
      <c r="A46" s="107" t="n">
        <v>8</v>
      </c>
      <c r="B46" s="63">
        <f>IF('0 AVAL'!B43 = "", "", '0 AVAL'!B43)</f>
        <v/>
      </c>
      <c r="C46" s="63">
        <f>IF('0 AVAL'!C43 = "", "", '0 AVAL'!C43)</f>
        <v/>
      </c>
      <c r="D46" s="63" t="n"/>
      <c r="E46" s="417" t="n"/>
      <c r="F46" s="387" t="n"/>
      <c r="G46" s="387" t="n"/>
      <c r="H46" s="387" t="n"/>
      <c r="I46" s="387" t="n"/>
      <c r="J46" s="387" t="n"/>
      <c r="K46" s="387" t="n"/>
      <c r="L46" s="387" t="n"/>
      <c r="M46" s="387" t="n"/>
      <c r="N46" s="406" t="n"/>
    </row>
    <row r="47" ht="33" customHeight="1">
      <c r="A47" s="107" t="n">
        <v>9</v>
      </c>
      <c r="B47" s="63">
        <f>IF('0 AVAL'!B44 = "", "", '0 AVAL'!B44)</f>
        <v/>
      </c>
      <c r="C47" s="63">
        <f>IF('0 AVAL'!C44 = "", "", '0 AVAL'!C44)</f>
        <v/>
      </c>
      <c r="D47" s="63" t="n"/>
      <c r="E47" s="417" t="n"/>
      <c r="F47" s="387" t="n"/>
      <c r="G47" s="387" t="n"/>
      <c r="H47" s="387" t="n"/>
      <c r="I47" s="387" t="n"/>
      <c r="J47" s="387" t="n"/>
      <c r="K47" s="387" t="n"/>
      <c r="L47" s="387" t="n"/>
      <c r="M47" s="387" t="n"/>
      <c r="N47" s="406" t="n"/>
    </row>
    <row r="48" ht="33" customHeight="1">
      <c r="A48" s="107" t="n">
        <v>10</v>
      </c>
      <c r="B48" s="63">
        <f>IF('0 AVAL'!B45 = "", "", '0 AVAL'!B45)</f>
        <v/>
      </c>
      <c r="C48" s="63">
        <f>IF('0 AVAL'!C45 = "", "", '0 AVAL'!C45)</f>
        <v/>
      </c>
      <c r="D48" s="63" t="n"/>
      <c r="E48" s="417" t="n"/>
      <c r="F48" s="387" t="n"/>
      <c r="G48" s="387" t="n"/>
      <c r="H48" s="387" t="n"/>
      <c r="I48" s="387" t="n"/>
      <c r="J48" s="387" t="n"/>
      <c r="K48" s="387" t="n"/>
      <c r="L48" s="387" t="n"/>
      <c r="M48" s="387" t="n"/>
      <c r="N48" s="406" t="n"/>
    </row>
    <row r="49" ht="33" customHeight="1">
      <c r="A49" s="107" t="n">
        <v>11</v>
      </c>
      <c r="B49" s="63">
        <f>IF('0 AVAL'!B46 = "", "", '0 AVAL'!B46)</f>
        <v/>
      </c>
      <c r="C49" s="63">
        <f>IF('0 AVAL'!C46 = "", "", '0 AVAL'!C46)</f>
        <v/>
      </c>
      <c r="D49" s="63" t="n"/>
      <c r="E49" s="417" t="n"/>
      <c r="F49" s="387" t="n"/>
      <c r="G49" s="387" t="n"/>
      <c r="H49" s="387" t="n"/>
      <c r="I49" s="387" t="n"/>
      <c r="J49" s="387" t="n"/>
      <c r="K49" s="387" t="n"/>
      <c r="L49" s="387" t="n"/>
      <c r="M49" s="387" t="n"/>
      <c r="N49" s="406" t="n"/>
    </row>
    <row r="50" ht="33" customHeight="1">
      <c r="A50" s="107" t="n">
        <v>12</v>
      </c>
      <c r="B50" s="63">
        <f>IF('0 AVAL'!B47 = "", "", '0 AVAL'!B47)</f>
        <v/>
      </c>
      <c r="C50" s="63">
        <f>IF('0 AVAL'!C47 = "", "", '0 AVAL'!C47)</f>
        <v/>
      </c>
      <c r="D50" s="63" t="n"/>
      <c r="E50" s="417" t="n"/>
      <c r="F50" s="387" t="n"/>
      <c r="G50" s="387" t="n"/>
      <c r="H50" s="387" t="n"/>
      <c r="I50" s="387" t="n"/>
      <c r="J50" s="387" t="n"/>
      <c r="K50" s="387" t="n"/>
      <c r="L50" s="387" t="n"/>
      <c r="M50" s="387" t="n"/>
      <c r="N50" s="406" t="n"/>
    </row>
    <row r="51" ht="33" customHeight="1">
      <c r="A51" s="107" t="n">
        <v>13</v>
      </c>
      <c r="B51" s="63">
        <f>IF('0 AVAL'!B48 = "", "", '0 AVAL'!B48)</f>
        <v/>
      </c>
      <c r="C51" s="63">
        <f>IF('0 AVAL'!C48 = "", "", '0 AVAL'!C48)</f>
        <v/>
      </c>
      <c r="D51" s="63" t="n"/>
      <c r="E51" s="417" t="n"/>
      <c r="F51" s="387" t="n"/>
      <c r="G51" s="387" t="n"/>
      <c r="H51" s="387" t="n"/>
      <c r="I51" s="387" t="n"/>
      <c r="J51" s="387" t="n"/>
      <c r="K51" s="387" t="n"/>
      <c r="L51" s="387" t="n"/>
      <c r="M51" s="387" t="n"/>
      <c r="N51" s="406" t="n"/>
    </row>
    <row r="52" ht="33" customHeight="1">
      <c r="A52" s="107" t="n">
        <v>14</v>
      </c>
      <c r="B52" s="63">
        <f>IF('0 AVAL'!B49 = "", "", '0 AVAL'!B49)</f>
        <v/>
      </c>
      <c r="C52" s="63">
        <f>IF('0 AVAL'!C49 = "", "", '0 AVAL'!C49)</f>
        <v/>
      </c>
      <c r="D52" s="63" t="n"/>
      <c r="E52" s="417" t="n"/>
      <c r="F52" s="387" t="n"/>
      <c r="G52" s="387" t="n"/>
      <c r="H52" s="387" t="n"/>
      <c r="I52" s="387" t="n"/>
      <c r="J52" s="387" t="n"/>
      <c r="K52" s="387" t="n"/>
      <c r="L52" s="387" t="n"/>
      <c r="M52" s="387" t="n"/>
      <c r="N52" s="406" t="n"/>
    </row>
    <row r="53" ht="33" customHeight="1">
      <c r="A53" s="107" t="n">
        <v>15</v>
      </c>
      <c r="B53" s="63">
        <f>IF('0 AVAL'!B50 = "", "", '0 AVAL'!B50)</f>
        <v/>
      </c>
      <c r="C53" s="63">
        <f>IF('0 AVAL'!C50 = "", "", '0 AVAL'!C50)</f>
        <v/>
      </c>
      <c r="D53" s="63" t="n"/>
      <c r="E53" s="417" t="n"/>
      <c r="F53" s="387" t="n"/>
      <c r="G53" s="387" t="n"/>
      <c r="H53" s="387" t="n"/>
      <c r="I53" s="387" t="n"/>
      <c r="J53" s="387" t="n"/>
      <c r="K53" s="387" t="n"/>
      <c r="L53" s="387" t="n"/>
      <c r="M53" s="387" t="n"/>
      <c r="N53" s="406" t="n"/>
    </row>
    <row r="54" ht="33" customHeight="1">
      <c r="A54" s="107" t="n">
        <v>16</v>
      </c>
      <c r="B54" s="63">
        <f>IF('0 AVAL'!B51 = "", "", '0 AVAL'!B51)</f>
        <v/>
      </c>
      <c r="C54" s="63">
        <f>IF('0 AVAL'!C51 = "", "", '0 AVAL'!C51)</f>
        <v/>
      </c>
      <c r="D54" s="63" t="n"/>
      <c r="E54" s="417" t="n"/>
      <c r="F54" s="387" t="n"/>
      <c r="G54" s="387" t="n"/>
      <c r="H54" s="387" t="n"/>
      <c r="I54" s="387" t="n"/>
      <c r="J54" s="387" t="n"/>
      <c r="K54" s="387" t="n"/>
      <c r="L54" s="387" t="n"/>
      <c r="M54" s="387" t="n"/>
      <c r="N54" s="406" t="n"/>
    </row>
    <row r="55" ht="33" customHeight="1">
      <c r="A55" s="107" t="n">
        <v>17</v>
      </c>
      <c r="B55" s="63">
        <f>IF('0 AVAL'!B52 = "", "", '0 AVAL'!B52)</f>
        <v/>
      </c>
      <c r="C55" s="63">
        <f>IF('0 AVAL'!C52 = "", "", '0 AVAL'!C52)</f>
        <v/>
      </c>
      <c r="D55" s="63" t="n"/>
      <c r="E55" s="417" t="n"/>
      <c r="F55" s="387" t="n"/>
      <c r="G55" s="387" t="n"/>
      <c r="H55" s="387" t="n"/>
      <c r="I55" s="387" t="n"/>
      <c r="J55" s="387" t="n"/>
      <c r="K55" s="387" t="n"/>
      <c r="L55" s="387" t="n"/>
      <c r="M55" s="387" t="n"/>
      <c r="N55" s="406" t="n"/>
    </row>
    <row r="56" ht="33" customHeight="1">
      <c r="A56" s="107" t="n">
        <v>18</v>
      </c>
      <c r="B56" s="63">
        <f>IF('0 AVAL'!B53 = "", "", '0 AVAL'!B53)</f>
        <v/>
      </c>
      <c r="C56" s="63">
        <f>IF('0 AVAL'!C53 = "", "", '0 AVAL'!C53)</f>
        <v/>
      </c>
      <c r="D56" s="63" t="n"/>
      <c r="E56" s="417" t="n"/>
      <c r="F56" s="387" t="n"/>
      <c r="G56" s="387" t="n"/>
      <c r="H56" s="387" t="n"/>
      <c r="I56" s="387" t="n"/>
      <c r="J56" s="387" t="n"/>
      <c r="K56" s="387" t="n"/>
      <c r="L56" s="387" t="n"/>
      <c r="M56" s="387" t="n"/>
      <c r="N56" s="406" t="n"/>
    </row>
    <row r="57" ht="33" customHeight="1">
      <c r="A57" s="107" t="n">
        <v>19</v>
      </c>
      <c r="B57" s="63">
        <f>IF('0 AVAL'!B54 = "", "", '0 AVAL'!B54)</f>
        <v/>
      </c>
      <c r="C57" s="63">
        <f>IF('0 AVAL'!C54 = "", "", '0 AVAL'!C54)</f>
        <v/>
      </c>
      <c r="D57" s="63" t="n"/>
      <c r="E57" s="417" t="n"/>
      <c r="F57" s="387" t="n"/>
      <c r="G57" s="387" t="n"/>
      <c r="H57" s="387" t="n"/>
      <c r="I57" s="387" t="n"/>
      <c r="J57" s="387" t="n"/>
      <c r="K57" s="387" t="n"/>
      <c r="L57" s="387" t="n"/>
      <c r="M57" s="387" t="n"/>
      <c r="N57" s="406" t="n"/>
    </row>
    <row r="58" ht="33" customHeight="1">
      <c r="A58" s="107" t="n">
        <v>20</v>
      </c>
      <c r="B58" s="63">
        <f>IF('0 AVAL'!B55 = "", "", '0 AVAL'!B55)</f>
        <v/>
      </c>
      <c r="C58" s="63">
        <f>IF('0 AVAL'!C55 = "", "", '0 AVAL'!C55)</f>
        <v/>
      </c>
      <c r="D58" s="63" t="n"/>
      <c r="E58" s="417" t="n"/>
      <c r="F58" s="387" t="n"/>
      <c r="G58" s="387" t="n"/>
      <c r="H58" s="387" t="n"/>
      <c r="I58" s="387" t="n"/>
      <c r="J58" s="387" t="n"/>
      <c r="K58" s="387" t="n"/>
      <c r="L58" s="387" t="n"/>
      <c r="M58" s="387" t="n"/>
      <c r="N58" s="406" t="n"/>
    </row>
    <row r="59" ht="33" customHeight="1">
      <c r="A59" s="107" t="n">
        <v>21</v>
      </c>
      <c r="B59" s="63">
        <f>IF('0 AVAL'!B56 = "", "", '0 AVAL'!B56)</f>
        <v/>
      </c>
      <c r="C59" s="63">
        <f>IF('0 AVAL'!C56 = "", "", '0 AVAL'!C56)</f>
        <v/>
      </c>
      <c r="D59" s="63" t="n"/>
      <c r="E59" s="417" t="n"/>
      <c r="F59" s="387" t="n"/>
      <c r="G59" s="387" t="n"/>
      <c r="H59" s="387" t="n"/>
      <c r="I59" s="387" t="n"/>
      <c r="J59" s="387" t="n"/>
      <c r="K59" s="387" t="n"/>
      <c r="L59" s="387" t="n"/>
      <c r="M59" s="387" t="n"/>
      <c r="N59" s="406" t="n"/>
    </row>
    <row r="60" ht="33" customHeight="1">
      <c r="A60" s="107" t="n">
        <v>22</v>
      </c>
      <c r="B60" s="63">
        <f>IF('0 AVAL'!B57 = "", "", '0 AVAL'!B57)</f>
        <v/>
      </c>
      <c r="C60" s="63">
        <f>IF('0 AVAL'!C57 = "", "", '0 AVAL'!C57)</f>
        <v/>
      </c>
      <c r="D60" s="63" t="n"/>
      <c r="E60" s="417" t="n"/>
      <c r="F60" s="387" t="n"/>
      <c r="G60" s="387" t="n"/>
      <c r="H60" s="387" t="n"/>
      <c r="I60" s="387" t="n"/>
      <c r="J60" s="387" t="n"/>
      <c r="K60" s="387" t="n"/>
      <c r="L60" s="387" t="n"/>
      <c r="M60" s="387" t="n"/>
      <c r="N60" s="406" t="n"/>
    </row>
    <row r="61" ht="33" customHeight="1">
      <c r="A61" s="107" t="n">
        <v>23</v>
      </c>
      <c r="B61" s="63">
        <f>IF('0 AVAL'!B58 = "", "", '0 AVAL'!B58)</f>
        <v/>
      </c>
      <c r="C61" s="63">
        <f>IF('0 AVAL'!C58 = "", "", '0 AVAL'!C58)</f>
        <v/>
      </c>
      <c r="D61" s="63" t="n"/>
      <c r="E61" s="417" t="n"/>
      <c r="F61" s="387" t="n"/>
      <c r="G61" s="387" t="n"/>
      <c r="H61" s="387" t="n"/>
      <c r="I61" s="387" t="n"/>
      <c r="J61" s="387" t="n"/>
      <c r="K61" s="387" t="n"/>
      <c r="L61" s="387" t="n"/>
      <c r="M61" s="387" t="n"/>
      <c r="N61" s="406" t="n"/>
    </row>
    <row r="62" ht="33" customHeight="1">
      <c r="A62" s="107" t="n">
        <v>24</v>
      </c>
      <c r="B62" s="63">
        <f>IF('0 AVAL'!B59 = "", "", '0 AVAL'!B59)</f>
        <v/>
      </c>
      <c r="C62" s="63">
        <f>IF('0 AVAL'!C59 = "", "", '0 AVAL'!C59)</f>
        <v/>
      </c>
      <c r="D62" s="63" t="n"/>
      <c r="E62" s="417" t="n"/>
      <c r="F62" s="387" t="n"/>
      <c r="G62" s="387" t="n"/>
      <c r="H62" s="387" t="n"/>
      <c r="I62" s="387" t="n"/>
      <c r="J62" s="387" t="n"/>
      <c r="K62" s="387" t="n"/>
      <c r="L62" s="387" t="n"/>
      <c r="M62" s="387" t="n"/>
      <c r="N62" s="406" t="n"/>
    </row>
    <row r="63" ht="33" customHeight="1">
      <c r="A63" s="107" t="n">
        <v>25</v>
      </c>
      <c r="B63" s="63">
        <f>IF('0 AVAL'!B60 = "", "", '0 AVAL'!B60)</f>
        <v/>
      </c>
      <c r="C63" s="63">
        <f>IF('0 AVAL'!C60 = "", "", '0 AVAL'!C60)</f>
        <v/>
      </c>
      <c r="D63" s="63" t="n"/>
      <c r="E63" s="417" t="n"/>
      <c r="F63" s="387" t="n"/>
      <c r="G63" s="387" t="n"/>
      <c r="H63" s="387" t="n"/>
      <c r="I63" s="387" t="n"/>
      <c r="J63" s="387" t="n"/>
      <c r="K63" s="387" t="n"/>
      <c r="L63" s="387" t="n"/>
      <c r="M63" s="387" t="n"/>
      <c r="N63" s="406" t="n"/>
    </row>
    <row r="64" ht="33" customHeight="1">
      <c r="A64" s="107" t="n">
        <v>26</v>
      </c>
      <c r="B64" s="63">
        <f>IF('0 AVAL'!B61 = "", "", '0 AVAL'!B61)</f>
        <v/>
      </c>
      <c r="C64" s="63">
        <f>IF('0 AVAL'!C61 = "", "", '0 AVAL'!C61)</f>
        <v/>
      </c>
      <c r="D64" s="63" t="n"/>
      <c r="E64" s="417" t="n"/>
      <c r="F64" s="387" t="n"/>
      <c r="G64" s="387" t="n"/>
      <c r="H64" s="387" t="n"/>
      <c r="I64" s="387" t="n"/>
      <c r="J64" s="387" t="n"/>
      <c r="K64" s="387" t="n"/>
      <c r="L64" s="387" t="n"/>
      <c r="M64" s="387" t="n"/>
      <c r="N64" s="406" t="n"/>
    </row>
    <row r="65" ht="33" customHeight="1">
      <c r="A65" s="107" t="n">
        <v>27</v>
      </c>
      <c r="B65" s="63">
        <f>IF('0 AVAL'!B62 = "", "", '0 AVAL'!B62)</f>
        <v/>
      </c>
      <c r="C65" s="63">
        <f>IF('0 AVAL'!C62 = "", "", '0 AVAL'!C62)</f>
        <v/>
      </c>
      <c r="D65" s="63" t="n"/>
      <c r="E65" s="417" t="n"/>
      <c r="F65" s="387" t="n"/>
      <c r="G65" s="387" t="n"/>
      <c r="H65" s="387" t="n"/>
      <c r="I65" s="387" t="n"/>
      <c r="J65" s="387" t="n"/>
      <c r="K65" s="387" t="n"/>
      <c r="L65" s="387" t="n"/>
      <c r="M65" s="387" t="n"/>
      <c r="N65" s="406" t="n"/>
    </row>
    <row r="66" ht="33" customHeight="1">
      <c r="A66" s="107" t="n">
        <v>28</v>
      </c>
      <c r="B66" s="63">
        <f>IF('0 AVAL'!B63 = "", "", '0 AVAL'!B63)</f>
        <v/>
      </c>
      <c r="C66" s="63">
        <f>IF('0 AVAL'!C63 = "", "", '0 AVAL'!C63)</f>
        <v/>
      </c>
      <c r="D66" s="63" t="n"/>
      <c r="E66" s="417" t="n"/>
      <c r="F66" s="387" t="n"/>
      <c r="G66" s="387" t="n"/>
      <c r="H66" s="387" t="n"/>
      <c r="I66" s="387" t="n"/>
      <c r="J66" s="387" t="n"/>
      <c r="K66" s="387" t="n"/>
      <c r="L66" s="387" t="n"/>
      <c r="M66" s="387" t="n"/>
      <c r="N66" s="406" t="n"/>
    </row>
    <row r="67" ht="33" customHeight="1">
      <c r="A67" s="107" t="n">
        <v>29</v>
      </c>
      <c r="B67" s="63">
        <f>IF('0 AVAL'!B64 = "", "", '0 AVAL'!B64)</f>
        <v/>
      </c>
      <c r="C67" s="63">
        <f>IF('0 AVAL'!C64 = "", "", '0 AVAL'!C64)</f>
        <v/>
      </c>
      <c r="D67" s="63" t="n"/>
      <c r="E67" s="417" t="n"/>
      <c r="F67" s="387" t="n"/>
      <c r="G67" s="387" t="n"/>
      <c r="H67" s="387" t="n"/>
      <c r="I67" s="387" t="n"/>
      <c r="J67" s="387" t="n"/>
      <c r="K67" s="387" t="n"/>
      <c r="L67" s="387" t="n"/>
      <c r="M67" s="387" t="n"/>
      <c r="N67" s="406" t="n"/>
    </row>
    <row r="68" ht="33" customHeight="1">
      <c r="A68" s="107" t="n">
        <v>30</v>
      </c>
      <c r="B68" s="63">
        <f>IF('0 AVAL'!B65 = "", "", '0 AVAL'!B65)</f>
        <v/>
      </c>
      <c r="C68" s="63">
        <f>IF('0 AVAL'!C65 = "", "", '0 AVAL'!C65)</f>
        <v/>
      </c>
      <c r="D68" s="63" t="n"/>
      <c r="E68" s="417" t="n"/>
      <c r="F68" s="387" t="n"/>
      <c r="G68" s="387" t="n"/>
      <c r="H68" s="387" t="n"/>
      <c r="I68" s="387" t="n"/>
      <c r="J68" s="387" t="n"/>
      <c r="K68" s="387" t="n"/>
      <c r="L68" s="387" t="n"/>
      <c r="M68" s="387" t="n"/>
      <c r="N68" s="406" t="n"/>
    </row>
    <row r="69" ht="33" customHeight="1">
      <c r="A69" s="107" t="n">
        <v>31</v>
      </c>
      <c r="B69" s="63">
        <f>IF('0 AVAL'!B66 = "", "", '0 AVAL'!B66)</f>
        <v/>
      </c>
      <c r="C69" s="63">
        <f>IF('0 AVAL'!C66 = "", "", '0 AVAL'!C66)</f>
        <v/>
      </c>
      <c r="D69" s="63" t="n"/>
      <c r="E69" s="271" t="n"/>
      <c r="F69" s="272" t="n"/>
      <c r="G69" s="272" t="n"/>
      <c r="H69" s="272" t="n"/>
      <c r="I69" s="272" t="n"/>
      <c r="J69" s="272" t="n"/>
      <c r="K69" s="272" t="n"/>
      <c r="L69" s="272" t="n"/>
      <c r="M69" s="272" t="n"/>
      <c r="N69" s="273" t="n"/>
    </row>
    <row r="70" ht="33" customHeight="1">
      <c r="A70" s="107" t="n">
        <v>32</v>
      </c>
      <c r="B70" s="63">
        <f>IF('0 AVAL'!B67 = "", "", '0 AVAL'!B67)</f>
        <v/>
      </c>
      <c r="C70" s="63">
        <f>IF('0 AVAL'!C67 = "", "", '0 AVAL'!C67)</f>
        <v/>
      </c>
      <c r="D70" s="63" t="n"/>
      <c r="E70" s="271" t="n"/>
      <c r="F70" s="272" t="n"/>
      <c r="G70" s="272" t="n"/>
      <c r="H70" s="272" t="n"/>
      <c r="I70" s="272" t="n"/>
      <c r="J70" s="272" t="n"/>
      <c r="K70" s="272" t="n"/>
      <c r="L70" s="272" t="n"/>
      <c r="M70" s="272" t="n"/>
      <c r="N70" s="273" t="n"/>
    </row>
    <row r="71" ht="33" customHeight="1">
      <c r="A71" s="107" t="n">
        <v>33</v>
      </c>
      <c r="B71" s="63">
        <f>IF('0 AVAL'!B68 = "", "", '0 AVAL'!B68)</f>
        <v/>
      </c>
      <c r="C71" s="63">
        <f>IF('0 AVAL'!C68 = "", "", '0 AVAL'!C68)</f>
        <v/>
      </c>
      <c r="D71" s="63" t="n"/>
      <c r="E71" s="271" t="n"/>
      <c r="F71" s="272" t="n"/>
      <c r="G71" s="272" t="n"/>
      <c r="H71" s="272" t="n"/>
      <c r="I71" s="272" t="n"/>
      <c r="J71" s="272" t="n"/>
      <c r="K71" s="272" t="n"/>
      <c r="L71" s="272" t="n"/>
      <c r="M71" s="272" t="n"/>
      <c r="N71" s="273" t="n"/>
    </row>
    <row r="72" ht="33" customHeight="1">
      <c r="A72" s="107" t="n">
        <v>34</v>
      </c>
      <c r="B72" s="63">
        <f>IF('0 AVAL'!B69 = "", "", '0 AVAL'!B69)</f>
        <v/>
      </c>
      <c r="C72" s="63">
        <f>IF('0 AVAL'!C69 = "", "", '0 AVAL'!C69)</f>
        <v/>
      </c>
      <c r="D72" s="63" t="n"/>
      <c r="E72" s="271" t="n"/>
      <c r="F72" s="272" t="n"/>
      <c r="G72" s="272" t="n"/>
      <c r="H72" s="272" t="n"/>
      <c r="I72" s="272" t="n"/>
      <c r="J72" s="272" t="n"/>
      <c r="K72" s="272" t="n"/>
      <c r="L72" s="272" t="n"/>
      <c r="M72" s="272" t="n"/>
      <c r="N72" s="273" t="n"/>
    </row>
    <row r="73" ht="33" customHeight="1">
      <c r="A73" s="107" t="n">
        <v>35</v>
      </c>
      <c r="B73" s="63">
        <f>IF('0 AVAL'!B70 = "", "", '0 AVAL'!B70)</f>
        <v/>
      </c>
      <c r="C73" s="63">
        <f>IF('0 AVAL'!C70 = "", "", '0 AVAL'!C70)</f>
        <v/>
      </c>
      <c r="D73" s="63" t="n"/>
      <c r="E73" s="271" t="n"/>
      <c r="F73" s="272" t="n"/>
      <c r="G73" s="272" t="n"/>
      <c r="H73" s="272" t="n"/>
      <c r="I73" s="272" t="n"/>
      <c r="J73" s="272" t="n"/>
      <c r="K73" s="272" t="n"/>
      <c r="L73" s="272" t="n"/>
      <c r="M73" s="272" t="n"/>
      <c r="N73" s="273" t="n"/>
    </row>
    <row r="74" ht="33" customHeight="1">
      <c r="A74" s="107" t="n">
        <v>36</v>
      </c>
      <c r="B74" s="63">
        <f>IF('0 AVAL'!B71 = "", "", '0 AVAL'!B71)</f>
        <v/>
      </c>
      <c r="C74" s="63">
        <f>IF('0 AVAL'!C71 = "", "", '0 AVAL'!C71)</f>
        <v/>
      </c>
      <c r="D74" s="63" t="n"/>
      <c r="E74" s="417" t="n"/>
      <c r="F74" s="387" t="n"/>
      <c r="G74" s="387" t="n"/>
      <c r="H74" s="387" t="n"/>
      <c r="I74" s="387" t="n"/>
      <c r="J74" s="387" t="n"/>
      <c r="K74" s="387" t="n"/>
      <c r="L74" s="387" t="n"/>
      <c r="M74" s="387" t="n"/>
      <c r="N74" s="406" t="n"/>
    </row>
    <row r="75" ht="33" customHeight="1">
      <c r="A75" s="107" t="n">
        <v>37</v>
      </c>
      <c r="B75" s="63">
        <f>IF('0 AVAL'!B72 = "", "", '0 AVAL'!B72)</f>
        <v/>
      </c>
      <c r="C75" s="63">
        <f>IF('0 AVAL'!C72 = "", "", '0 AVAL'!C72)</f>
        <v/>
      </c>
      <c r="D75" s="63" t="n"/>
      <c r="E75" s="417" t="n"/>
      <c r="F75" s="387" t="n"/>
      <c r="G75" s="387" t="n"/>
      <c r="H75" s="387" t="n"/>
      <c r="I75" s="387" t="n"/>
      <c r="J75" s="387" t="n"/>
      <c r="K75" s="387" t="n"/>
      <c r="L75" s="387" t="n"/>
      <c r="M75" s="387" t="n"/>
      <c r="N75" s="406" t="n"/>
    </row>
    <row r="76" ht="33" customHeight="1">
      <c r="A76" s="107" t="n">
        <v>38</v>
      </c>
      <c r="B76" s="63">
        <f>IF('0 AVAL'!B73 = "", "", '0 AVAL'!B73)</f>
        <v/>
      </c>
      <c r="C76" s="63">
        <f>IF('0 AVAL'!C73 = "", "", '0 AVAL'!C73)</f>
        <v/>
      </c>
      <c r="D76" s="63" t="n"/>
      <c r="E76" s="417" t="n"/>
      <c r="F76" s="387" t="n"/>
      <c r="G76" s="387" t="n"/>
      <c r="H76" s="387" t="n"/>
      <c r="I76" s="387" t="n"/>
      <c r="J76" s="387" t="n"/>
      <c r="K76" s="387" t="n"/>
      <c r="L76" s="387" t="n"/>
      <c r="M76" s="387" t="n"/>
      <c r="N76" s="406" t="n"/>
    </row>
    <row r="77" ht="33" customHeight="1">
      <c r="A77" s="107" t="n">
        <v>39</v>
      </c>
      <c r="B77" s="63">
        <f>IF('0 AVAL'!B74 = "", "", '0 AVAL'!B74)</f>
        <v/>
      </c>
      <c r="C77" s="63">
        <f>IF('0 AVAL'!C74 = "", "", '0 AVAL'!C74)</f>
        <v/>
      </c>
      <c r="D77" s="63" t="n"/>
      <c r="E77" s="417" t="n"/>
      <c r="F77" s="387" t="n"/>
      <c r="G77" s="387" t="n"/>
      <c r="H77" s="387" t="n"/>
      <c r="I77" s="387" t="n"/>
      <c r="J77" s="387" t="n"/>
      <c r="K77" s="387" t="n"/>
      <c r="L77" s="387" t="n"/>
      <c r="M77" s="387" t="n"/>
      <c r="N77" s="406" t="n"/>
    </row>
    <row r="78" ht="33" customHeight="1">
      <c r="A78" s="107" t="n">
        <v>40</v>
      </c>
      <c r="B78" s="63">
        <f>IF('0 AVAL'!B75 = "", "", '0 AVAL'!B75)</f>
        <v/>
      </c>
      <c r="C78" s="63">
        <f>IF('0 AVAL'!C75 = "", "", '0 AVAL'!C75)</f>
        <v/>
      </c>
      <c r="D78" s="63" t="n"/>
      <c r="E78" s="417" t="n"/>
      <c r="F78" s="387" t="n"/>
      <c r="G78" s="387" t="n"/>
      <c r="H78" s="387" t="n"/>
      <c r="I78" s="387" t="n"/>
      <c r="J78" s="387" t="n"/>
      <c r="K78" s="387" t="n"/>
      <c r="L78" s="387" t="n"/>
      <c r="M78" s="387" t="n"/>
      <c r="N78" s="406" t="n"/>
    </row>
    <row r="79" ht="27" customHeight="1"/>
    <row r="80" ht="21" customFormat="1" customHeight="1" s="93">
      <c r="B80" s="416" t="inlineStr">
        <is>
          <t>5- Seguiments d'acords i mesures adoptades de manera consensuada per l'equip docent en anteriors reunions</t>
        </is>
      </c>
      <c r="C80" s="392" t="n"/>
      <c r="D80" s="392" t="n"/>
      <c r="E80" s="392" t="n"/>
      <c r="F80" s="392" t="n"/>
      <c r="G80" s="392" t="n"/>
      <c r="H80" s="392" t="n"/>
      <c r="I80" s="392" t="n"/>
      <c r="J80" s="392" t="n"/>
      <c r="K80" s="392" t="n"/>
      <c r="L80" s="392" t="n"/>
      <c r="M80" s="392" t="n"/>
      <c r="N80" s="393" t="n"/>
    </row>
    <row r="81">
      <c r="B81" s="2" t="n"/>
      <c r="C81" s="2" t="n"/>
      <c r="D81" s="2" t="n"/>
      <c r="E81" s="2" t="n"/>
      <c r="F81" s="2" t="n"/>
      <c r="G81" s="2" t="n"/>
      <c r="H81" s="2" t="n"/>
      <c r="I81" s="2" t="n"/>
      <c r="J81" s="309" t="inlineStr">
        <is>
          <t>Seguiment</t>
        </is>
      </c>
      <c r="K81" s="309" t="inlineStr">
        <is>
          <t>Observacions</t>
        </is>
      </c>
    </row>
    <row r="82">
      <c r="A82" s="108" t="n">
        <v>1</v>
      </c>
      <c r="B82" s="278" t="inlineStr"/>
      <c r="C82" s="387" t="n"/>
      <c r="D82" s="387" t="n"/>
      <c r="E82" s="387" t="n"/>
      <c r="F82" s="387" t="n"/>
      <c r="G82" s="387" t="n"/>
      <c r="H82" s="387" t="n"/>
      <c r="I82" s="387" t="n"/>
      <c r="J82" s="87" t="n"/>
      <c r="K82" s="279" t="n"/>
      <c r="L82" s="387" t="n"/>
      <c r="M82" s="387" t="n"/>
      <c r="N82" s="387" t="n"/>
    </row>
    <row r="83">
      <c r="A83" s="108" t="n">
        <v>2</v>
      </c>
      <c r="B83" s="280" t="inlineStr"/>
      <c r="C83" s="394" t="n"/>
      <c r="D83" s="394" t="n"/>
      <c r="E83" s="394" t="n"/>
      <c r="F83" s="394" t="n"/>
      <c r="G83" s="394" t="n"/>
      <c r="H83" s="394" t="n"/>
      <c r="I83" s="394" t="n"/>
      <c r="J83" s="87" t="n"/>
      <c r="K83" s="279" t="n"/>
      <c r="L83" s="387" t="n"/>
      <c r="M83" s="387" t="n"/>
      <c r="N83" s="387" t="n"/>
    </row>
    <row r="84">
      <c r="A84" s="108" t="n">
        <v>3</v>
      </c>
      <c r="B84" s="280" t="inlineStr"/>
      <c r="C84" s="394" t="n"/>
      <c r="D84" s="394" t="n"/>
      <c r="E84" s="394" t="n"/>
      <c r="F84" s="394" t="n"/>
      <c r="G84" s="394" t="n"/>
      <c r="H84" s="394" t="n"/>
      <c r="I84" s="394" t="n"/>
      <c r="J84" s="87" t="n"/>
      <c r="K84" s="279" t="n"/>
      <c r="L84" s="387" t="n"/>
      <c r="M84" s="387" t="n"/>
      <c r="N84" s="387" t="n"/>
    </row>
    <row r="85">
      <c r="A85" s="108" t="n">
        <v>4</v>
      </c>
      <c r="B85" s="280" t="inlineStr"/>
      <c r="C85" s="394" t="n"/>
      <c r="D85" s="394" t="n"/>
      <c r="E85" s="394" t="n"/>
      <c r="F85" s="394" t="n"/>
      <c r="G85" s="394" t="n"/>
      <c r="H85" s="394" t="n"/>
      <c r="I85" s="394" t="n"/>
      <c r="J85" s="87" t="n"/>
      <c r="K85" s="279" t="n"/>
      <c r="L85" s="387" t="n"/>
      <c r="M85" s="387" t="n"/>
      <c r="N85" s="387" t="n"/>
    </row>
    <row r="86">
      <c r="A86" s="108" t="n">
        <v>5</v>
      </c>
      <c r="B86" s="280" t="inlineStr"/>
      <c r="C86" s="394" t="n"/>
      <c r="D86" s="394" t="n"/>
      <c r="E86" s="394" t="n"/>
      <c r="F86" s="394" t="n"/>
      <c r="G86" s="394" t="n"/>
      <c r="H86" s="394" t="n"/>
      <c r="I86" s="394" t="n"/>
      <c r="J86" s="87" t="n"/>
      <c r="K86" s="279" t="n"/>
      <c r="L86" s="387" t="n"/>
      <c r="M86" s="387" t="n"/>
      <c r="N86" s="387" t="n"/>
    </row>
    <row r="87">
      <c r="A87" s="108" t="n">
        <v>6</v>
      </c>
      <c r="B87" s="280" t="inlineStr"/>
      <c r="C87" s="394" t="n"/>
      <c r="D87" s="394" t="n"/>
      <c r="E87" s="394" t="n"/>
      <c r="F87" s="394" t="n"/>
      <c r="G87" s="394" t="n"/>
      <c r="H87" s="394" t="n"/>
      <c r="I87" s="394" t="n"/>
      <c r="J87" s="87" t="n"/>
      <c r="K87" s="279" t="n"/>
      <c r="L87" s="387" t="n"/>
      <c r="M87" s="387" t="n"/>
      <c r="N87" s="387" t="n"/>
    </row>
    <row r="88" ht="16.15" customHeight="1" thickBot="1">
      <c r="A88" s="108" t="n">
        <v>7</v>
      </c>
      <c r="B88" s="285" t="inlineStr"/>
      <c r="C88" s="403" t="n"/>
      <c r="D88" s="403" t="n"/>
      <c r="E88" s="403" t="n"/>
      <c r="F88" s="403" t="n"/>
      <c r="G88" s="403" t="n"/>
      <c r="H88" s="403" t="n"/>
      <c r="I88" s="403" t="n"/>
      <c r="J88" s="353" t="n"/>
      <c r="K88" s="286" t="n"/>
      <c r="L88" s="388" t="n"/>
      <c r="M88" s="388" t="n"/>
      <c r="N88" s="388" t="n"/>
    </row>
    <row r="89" ht="27" customHeight="1">
      <c r="B89" s="109" t="n"/>
      <c r="C89" s="109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109" t="n"/>
      <c r="N89" s="109" t="n"/>
    </row>
    <row r="90" ht="21" customFormat="1" customHeight="1" s="93">
      <c r="B90" s="416" t="inlineStr">
        <is>
          <t>6- Acords adoptats de caràcter col·legiat per l'equip docent</t>
        </is>
      </c>
      <c r="C90" s="392" t="n"/>
      <c r="D90" s="392" t="n"/>
      <c r="E90" s="392" t="n"/>
      <c r="F90" s="392" t="n"/>
      <c r="G90" s="392" t="n"/>
      <c r="H90" s="392" t="n"/>
      <c r="I90" s="392" t="n"/>
      <c r="J90" s="392" t="n"/>
      <c r="K90" s="392" t="n"/>
      <c r="L90" s="392" t="n"/>
      <c r="M90" s="392" t="n"/>
      <c r="N90" s="393" t="n"/>
    </row>
    <row r="91">
      <c r="B91" s="109" t="n"/>
      <c r="C91" s="109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109" t="n"/>
      <c r="N91" s="109" t="n"/>
    </row>
    <row r="92" ht="30.75" customFormat="1" customHeight="1" s="89">
      <c r="A92" s="110" t="n">
        <v>1</v>
      </c>
      <c r="B92" s="281">
        <f>IF(ACORDS!E25 = "", "", ACORDS!E25)</f>
        <v/>
      </c>
      <c r="C92" s="387" t="n"/>
      <c r="D92" s="387" t="n"/>
      <c r="E92" s="387" t="n"/>
      <c r="F92" s="387" t="n"/>
      <c r="G92" s="387" t="n"/>
      <c r="H92" s="387" t="n"/>
      <c r="I92" s="387" t="n"/>
      <c r="J92" s="421" t="inlineStr">
        <is>
          <t xml:space="preserve">Acta elaborada per: XXXXX. XX:XXh </t>
        </is>
      </c>
      <c r="K92" s="398" t="n"/>
      <c r="L92" s="398" t="n"/>
      <c r="M92" s="398" t="n"/>
      <c r="N92" s="399" t="n"/>
    </row>
    <row r="93" ht="30.75" customFormat="1" customHeight="1" s="89">
      <c r="A93" s="110" t="n">
        <v>2</v>
      </c>
      <c r="B93" s="281">
        <f>IF(ACORDS!E26 = "", "", ACORDS!E26)</f>
        <v/>
      </c>
      <c r="C93" s="387" t="n"/>
      <c r="D93" s="387" t="n"/>
      <c r="E93" s="387" t="n"/>
      <c r="F93" s="387" t="n"/>
      <c r="G93" s="387" t="n"/>
      <c r="H93" s="387" t="n"/>
      <c r="I93" s="387" t="n"/>
      <c r="J93" s="400" t="n"/>
      <c r="N93" s="401" t="n"/>
    </row>
    <row r="94" ht="30.75" customFormat="1" customHeight="1" s="89">
      <c r="A94" s="110" t="n">
        <v>3</v>
      </c>
      <c r="B94" s="281">
        <f>IF(ACORDS!E27 = "", "", ACORDS!E27)</f>
        <v/>
      </c>
      <c r="C94" s="387" t="n"/>
      <c r="D94" s="387" t="n"/>
      <c r="E94" s="387" t="n"/>
      <c r="F94" s="387" t="n"/>
      <c r="G94" s="387" t="n"/>
      <c r="H94" s="387" t="n"/>
      <c r="I94" s="387" t="n"/>
      <c r="J94" s="400" t="n"/>
      <c r="N94" s="401" t="n"/>
    </row>
    <row r="95" ht="30.75" customFormat="1" customHeight="1" s="89">
      <c r="A95" s="110" t="n">
        <v>4</v>
      </c>
      <c r="B95" s="281">
        <f>IF(ACORDS!E28 = "", "", ACORDS!E28)</f>
        <v/>
      </c>
      <c r="C95" s="387" t="n"/>
      <c r="D95" s="387" t="n"/>
      <c r="E95" s="387" t="n"/>
      <c r="F95" s="387" t="n"/>
      <c r="G95" s="387" t="n"/>
      <c r="H95" s="387" t="n"/>
      <c r="I95" s="387" t="n"/>
      <c r="J95" s="400" t="n"/>
      <c r="N95" s="401" t="n"/>
    </row>
    <row r="96" ht="30.75" customFormat="1" customHeight="1" s="89">
      <c r="A96" s="110" t="n">
        <v>5</v>
      </c>
      <c r="B96" s="281">
        <f>IF(ACORDS!E29 = "", "", ACORDS!E29)</f>
        <v/>
      </c>
      <c r="C96" s="387" t="n"/>
      <c r="D96" s="387" t="n"/>
      <c r="E96" s="387" t="n"/>
      <c r="F96" s="387" t="n"/>
      <c r="G96" s="387" t="n"/>
      <c r="H96" s="387" t="n"/>
      <c r="I96" s="387" t="n"/>
      <c r="J96" s="400" t="n"/>
      <c r="N96" s="401" t="n"/>
    </row>
    <row r="97" ht="30.75" customFormat="1" customHeight="1" s="89">
      <c r="A97" s="110" t="n">
        <v>6</v>
      </c>
      <c r="B97" s="281">
        <f>IF(ACORDS!E30 = "", "", ACORDS!E30)</f>
        <v/>
      </c>
      <c r="C97" s="387" t="n"/>
      <c r="D97" s="387" t="n"/>
      <c r="E97" s="387" t="n"/>
      <c r="F97" s="387" t="n"/>
      <c r="G97" s="387" t="n"/>
      <c r="H97" s="387" t="n"/>
      <c r="I97" s="387" t="n"/>
      <c r="J97" s="400" t="n"/>
      <c r="N97" s="401" t="n"/>
    </row>
    <row r="98" ht="30.75" customFormat="1" customHeight="1" s="89" thickBot="1">
      <c r="A98" s="110" t="n">
        <v>7</v>
      </c>
      <c r="B98" s="281">
        <f>IF(ACORDS!E31 = "", "", ACORDS!E31)</f>
        <v/>
      </c>
      <c r="C98" s="387" t="n"/>
      <c r="D98" s="387" t="n"/>
      <c r="E98" s="387" t="n"/>
      <c r="F98" s="387" t="n"/>
      <c r="G98" s="387" t="n"/>
      <c r="H98" s="387" t="n"/>
      <c r="I98" s="387" t="n"/>
      <c r="J98" s="402" t="n"/>
      <c r="K98" s="403" t="n"/>
      <c r="L98" s="403" t="n"/>
      <c r="M98" s="403" t="n"/>
      <c r="N98" s="404" t="n"/>
    </row>
    <row r="99">
      <c r="B99" s="282" t="inlineStr">
        <is>
          <t>En aquest document s'està realitzant un tractament de dades de l'alumnat que està regulat per la normativa vigent en matèria de Protecció de Dades de Caràcter Personal (LOPD 3/2018 i Resolució Conselleria
Educació, Investigació, Cultura i Esport del 28/6/2018). Recorda que les dades han de ser tractats de manera responsable i que has de guardar secret professional i no cedir o divulgar les dades ací contingudes.</t>
        </is>
      </c>
      <c r="C99" s="386" t="n"/>
      <c r="D99" s="386" t="n"/>
      <c r="E99" s="386" t="n"/>
      <c r="F99" s="386" t="n"/>
      <c r="G99" s="386" t="n"/>
      <c r="H99" s="386" t="n"/>
      <c r="I99" s="386" t="n"/>
      <c r="J99" s="386" t="n"/>
      <c r="K99" s="386" t="n"/>
      <c r="L99" s="386" t="n"/>
      <c r="M99" s="386" t="n"/>
      <c r="N99" s="386" t="n"/>
    </row>
    <row r="100"/>
  </sheetData>
  <mergeCells count="91">
    <mergeCell ref="D2:F6"/>
    <mergeCell ref="E57:N57"/>
    <mergeCell ref="G28:K29"/>
    <mergeCell ref="B31:C31"/>
    <mergeCell ref="B96:I96"/>
    <mergeCell ref="B36:N36"/>
    <mergeCell ref="J92:N98"/>
    <mergeCell ref="E58:N58"/>
    <mergeCell ref="B98:I98"/>
    <mergeCell ref="J5:M5"/>
    <mergeCell ref="E42:N42"/>
    <mergeCell ref="B88:I88"/>
    <mergeCell ref="G2:G6"/>
    <mergeCell ref="B82:I82"/>
    <mergeCell ref="K88:N88"/>
    <mergeCell ref="G31:K32"/>
    <mergeCell ref="B12:N12"/>
    <mergeCell ref="E44:N44"/>
    <mergeCell ref="C33:M34"/>
    <mergeCell ref="B14:N14"/>
    <mergeCell ref="B83:I83"/>
    <mergeCell ref="E78:N78"/>
    <mergeCell ref="J4:M4"/>
    <mergeCell ref="E59:N59"/>
    <mergeCell ref="B26:C26"/>
    <mergeCell ref="B85:I85"/>
    <mergeCell ref="E77:N77"/>
    <mergeCell ref="E46:N46"/>
    <mergeCell ref="E61:N61"/>
    <mergeCell ref="B27:C27"/>
    <mergeCell ref="E54:N54"/>
    <mergeCell ref="E41:N41"/>
    <mergeCell ref="B86:I86"/>
    <mergeCell ref="E47:N47"/>
    <mergeCell ref="K87:N87"/>
    <mergeCell ref="E56:N56"/>
    <mergeCell ref="B2:C6"/>
    <mergeCell ref="E43:N43"/>
    <mergeCell ref="B29:C29"/>
    <mergeCell ref="B87:I87"/>
    <mergeCell ref="B11:N11"/>
    <mergeCell ref="E63:N63"/>
    <mergeCell ref="B99:N100"/>
    <mergeCell ref="K81:N81"/>
    <mergeCell ref="E60:N60"/>
    <mergeCell ref="E74:N74"/>
    <mergeCell ref="J2:N2"/>
    <mergeCell ref="E45:N45"/>
    <mergeCell ref="J3:M3"/>
    <mergeCell ref="K82:N82"/>
    <mergeCell ref="B15:N15"/>
    <mergeCell ref="B24:N24"/>
    <mergeCell ref="B80:N80"/>
    <mergeCell ref="B93:I93"/>
    <mergeCell ref="K83:N83"/>
    <mergeCell ref="E62:N62"/>
    <mergeCell ref="B90:N90"/>
    <mergeCell ref="B18:N18"/>
    <mergeCell ref="E64:N64"/>
    <mergeCell ref="B28:C28"/>
    <mergeCell ref="E51:N51"/>
    <mergeCell ref="B30:C30"/>
    <mergeCell ref="B95:I95"/>
    <mergeCell ref="B22:M22"/>
    <mergeCell ref="E65:N65"/>
    <mergeCell ref="B97:I97"/>
    <mergeCell ref="E49:N49"/>
    <mergeCell ref="B9:N9"/>
    <mergeCell ref="E76:N76"/>
    <mergeCell ref="B20:N20"/>
    <mergeCell ref="E66:N66"/>
    <mergeCell ref="E75:N75"/>
    <mergeCell ref="E53:N53"/>
    <mergeCell ref="E50:N50"/>
    <mergeCell ref="E68:N68"/>
    <mergeCell ref="E55:N55"/>
    <mergeCell ref="E52:N52"/>
    <mergeCell ref="E67:N67"/>
    <mergeCell ref="E39:N39"/>
    <mergeCell ref="E48:N48"/>
    <mergeCell ref="J6:M6"/>
    <mergeCell ref="K85:N85"/>
    <mergeCell ref="E38:N38"/>
    <mergeCell ref="B84:I84"/>
    <mergeCell ref="B92:I92"/>
    <mergeCell ref="K84:N84"/>
    <mergeCell ref="E40:N40"/>
    <mergeCell ref="B17:N17"/>
    <mergeCell ref="B94:I94"/>
    <mergeCell ref="K86:N86"/>
    <mergeCell ref="J7:M7"/>
  </mergeCells>
  <conditionalFormatting sqref="J82:J88">
    <cfRule type="containsText" priority="1" operator="containsText" dxfId="2" text="No">
      <formula>NOT(ISERROR(SEARCH("No",J82)))</formula>
    </cfRule>
    <cfRule type="containsText" priority="2" operator="containsText" dxfId="1" text="Procés">
      <formula>NOT(ISERROR(SEARCH("Procés",J82)))</formula>
    </cfRule>
    <cfRule type="containsText" priority="3" operator="containsText" dxfId="0" text="Fet">
      <formula>NOT(ISERROR(SEARCH("Fet",J82)))</formula>
    </cfRule>
  </conditionalFormatting>
  <dataValidations count="2">
    <dataValidation sqref="J6:M6" showDropDown="0" showInputMessage="1" showErrorMessage="1" allowBlank="1"/>
    <dataValidation sqref="J7:M7" showDropDown="0" showInputMessage="1" showErrorMessage="1" allowBlank="1" type="date">
      <formula1>45170</formula1>
      <formula2>47664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C14" sqref="C14"/>
    </sheetView>
  </sheetViews>
  <sheetFormatPr baseColWidth="10" defaultColWidth="0" defaultRowHeight="15.75" zeroHeight="1"/>
  <cols>
    <col width="4.73046875" customWidth="1" style="248" min="1" max="1"/>
    <col width="17.3984375" customWidth="1" style="248" min="2" max="2"/>
    <col width="41.59765625" customWidth="1" style="248" min="3" max="3"/>
    <col width="12.59765625" customWidth="1" style="248" min="4" max="6"/>
    <col width="21.73046875" customWidth="1" style="248" min="7" max="7"/>
    <col width="12.59765625" customWidth="1" style="248" min="8" max="9"/>
    <col width="11.1328125" customWidth="1" style="248" min="10" max="10"/>
    <col width="18" customWidth="1" style="248" min="11" max="11"/>
    <col width="12.59765625" customWidth="1" style="248" min="12" max="16"/>
    <col width="9.1328125" customWidth="1" style="248" min="17" max="17"/>
    <col width="4.265625" customWidth="1" style="248" min="18" max="18"/>
    <col hidden="1" width="9.1328125" customWidth="1" style="248" min="19" max="24"/>
    <col hidden="1" width="4.3984375" customWidth="1" style="248" min="25" max="183"/>
    <col hidden="1" style="248" min="184" max="16384"/>
  </cols>
  <sheetData>
    <row r="1" ht="15.75" customHeight="1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  <c r="J1" s="30" t="inlineStr">
        <is>
          <t>PC03.F01 Acta d'avaluació Ed.02 - Setem.25</t>
        </is>
      </c>
      <c r="K1" s="30" t="n"/>
      <c r="L1" s="30" t="n"/>
      <c r="M1" s="30" t="n"/>
      <c r="N1" s="31" t="n"/>
      <c r="O1" s="30" t="n"/>
    </row>
    <row r="2" ht="15.75" customHeight="1">
      <c r="A2" s="29" t="n"/>
      <c r="B2" s="197" t="e">
        <v>#VALUE!</v>
      </c>
      <c r="D2" s="197" t="e">
        <v>#VALUE!</v>
      </c>
      <c r="H2" s="197" t="n"/>
      <c r="I2" s="197" t="n"/>
    </row>
    <row r="3" ht="15.75" customHeight="1">
      <c r="A3" s="29" t="n"/>
      <c r="J3" s="317" t="inlineStr">
        <is>
          <t>GRUP</t>
        </is>
      </c>
      <c r="K3" s="387" t="n"/>
      <c r="L3" s="198">
        <f>IF(INDEX!G3 = "", "", INDEX!G3)</f>
        <v/>
      </c>
      <c r="M3" s="387" t="n"/>
      <c r="N3" s="387" t="n"/>
      <c r="O3" s="387" t="n"/>
    </row>
    <row r="4" ht="15.75" customHeight="1">
      <c r="A4" s="29" t="n"/>
      <c r="J4" s="317" t="inlineStr">
        <is>
          <t>TUTOR/A</t>
        </is>
      </c>
      <c r="K4" s="387" t="n"/>
      <c r="L4" s="198">
        <f>IF(INDEX!G4 = "", "", INDEX!G4)</f>
        <v/>
      </c>
      <c r="M4" s="387" t="n"/>
      <c r="N4" s="387" t="n"/>
      <c r="O4" s="387" t="n"/>
    </row>
    <row r="5" ht="15.75" customHeight="1" thickBot="1">
      <c r="A5" s="29" t="n"/>
      <c r="J5" s="318" t="inlineStr">
        <is>
          <t>CURS ESCOLAR</t>
        </is>
      </c>
      <c r="K5" s="398" t="n"/>
      <c r="L5" s="199">
        <f>INDEX!G5</f>
        <v/>
      </c>
      <c r="M5" s="388" t="n"/>
      <c r="N5" s="388" t="n"/>
      <c r="O5" s="388" t="n"/>
    </row>
    <row r="6" ht="15.75" customHeight="1" thickBot="1">
      <c r="A6" s="29" t="n"/>
      <c r="J6" s="314" t="inlineStr">
        <is>
          <t>REUNIÓ EQUIP DOCENT</t>
        </is>
      </c>
      <c r="K6" s="388" t="n"/>
      <c r="L6" s="199" t="inlineStr">
        <is>
          <t>Formació Empreses</t>
        </is>
      </c>
      <c r="M6" s="388" t="n"/>
      <c r="N6" s="388" t="n"/>
      <c r="O6" s="388" t="n"/>
    </row>
    <row r="7">
      <c r="A7" s="29" t="n"/>
      <c r="B7" s="29" t="n"/>
      <c r="C7" s="29" t="n"/>
      <c r="D7" s="197" t="n"/>
      <c r="E7" s="197" t="n"/>
      <c r="F7" s="197" t="n"/>
      <c r="G7" s="197" t="n"/>
      <c r="H7" s="197" t="n"/>
      <c r="I7" s="197" t="n"/>
      <c r="J7" s="315" t="inlineStr">
        <is>
          <t>DATA REUNIÓ</t>
        </is>
      </c>
      <c r="L7" s="249" t="n"/>
      <c r="M7" s="386" t="n"/>
      <c r="N7" s="386" t="n"/>
      <c r="O7" s="386" t="n"/>
    </row>
    <row r="8" ht="27" customHeight="1"/>
    <row r="9" ht="21" customFormat="1" customHeight="1" s="37">
      <c r="B9" s="416" t="inlineStr">
        <is>
          <t>1- Informació sobre les pràctiques formatives</t>
        </is>
      </c>
      <c r="C9" s="392" t="n"/>
      <c r="D9" s="392" t="n"/>
      <c r="E9" s="392" t="n"/>
      <c r="F9" s="392" t="n"/>
      <c r="G9" s="392" t="n"/>
      <c r="H9" s="392" t="n"/>
      <c r="I9" s="392" t="n"/>
      <c r="J9" s="392" t="n"/>
      <c r="K9" s="392" t="n"/>
      <c r="L9" s="392" t="n"/>
      <c r="M9" s="392" t="n"/>
      <c r="N9" s="392" t="n"/>
      <c r="O9" s="392" t="n"/>
      <c r="P9" s="393" t="n"/>
    </row>
    <row r="10">
      <c r="F10" s="75" t="n"/>
    </row>
    <row r="11" ht="36.75" customFormat="1" customHeight="1" s="188">
      <c r="B11" s="326" t="inlineStr">
        <is>
          <t>NIA</t>
        </is>
      </c>
      <c r="C11" s="326" t="inlineStr">
        <is>
          <t>Alumne/a</t>
        </is>
      </c>
      <c r="D11" s="326" t="inlineStr">
        <is>
          <t>Estat 2nT</t>
        </is>
      </c>
      <c r="E11" s="326" t="inlineStr">
        <is>
          <t>Núm. FE</t>
        </is>
      </c>
      <c r="F11" s="326" t="inlineStr">
        <is>
          <t>Accés pràctiques</t>
        </is>
      </c>
      <c r="G11" s="326" t="inlineStr">
        <is>
          <t>Motius de 
no accés</t>
        </is>
      </c>
      <c r="H11" s="316" t="inlineStr">
        <is>
          <t>Empresa</t>
        </is>
      </c>
      <c r="I11" s="383" t="n"/>
      <c r="J11" s="316" t="inlineStr">
        <is>
          <t>Cesse</t>
        </is>
      </c>
      <c r="K11" s="316" t="inlineStr">
        <is>
          <t>Motiu cesse</t>
        </is>
      </c>
      <c r="L11" s="326" t="inlineStr">
        <is>
          <t>Hores FE realitzades</t>
        </is>
      </c>
      <c r="M11" s="326" t="inlineStr">
        <is>
          <t>FE superada</t>
        </is>
      </c>
      <c r="N11" s="326" t="inlineStr">
        <is>
          <t>Inserció laboral</t>
        </is>
      </c>
      <c r="O11" s="316" t="inlineStr">
        <is>
          <t>Observacions</t>
        </is>
      </c>
      <c r="P11" s="383" t="n"/>
      <c r="Q11" s="383" t="n"/>
    </row>
    <row r="12" ht="33" customHeight="1">
      <c r="A12" s="188" t="n">
        <v>1</v>
      </c>
      <c r="B12" s="63">
        <f>IF('0 AVAL'!B36 = "", "", '0 AVAL'!B36)</f>
        <v/>
      </c>
      <c r="C12" s="63">
        <f>IF('0 AVAL'!C36 = "", "", '0 AVAL'!C36)</f>
        <v/>
      </c>
      <c r="D12" s="63" t="n"/>
      <c r="E12" s="113" t="n"/>
      <c r="F12" s="310" t="inlineStr">
        <is>
          <t>-</t>
        </is>
      </c>
      <c r="G12" s="310" t="inlineStr">
        <is>
          <t>-</t>
        </is>
      </c>
      <c r="H12" s="310" t="n"/>
      <c r="I12" s="424" t="n"/>
      <c r="J12" s="310" t="inlineStr">
        <is>
          <t>-</t>
        </is>
      </c>
      <c r="K12" s="341" t="n"/>
      <c r="L12" s="310" t="n"/>
      <c r="M12" s="310" t="inlineStr">
        <is>
          <t>-</t>
        </is>
      </c>
      <c r="N12" s="310" t="inlineStr">
        <is>
          <t>-</t>
        </is>
      </c>
      <c r="O12" s="310" t="n"/>
      <c r="P12" s="383" t="n"/>
      <c r="Q12" s="424" t="n"/>
    </row>
    <row r="13" ht="33" customHeight="1">
      <c r="A13" s="188" t="n">
        <v>2</v>
      </c>
      <c r="B13" s="63">
        <f>IF('0 AVAL'!B37 = "", "", '0 AVAL'!B37)</f>
        <v/>
      </c>
      <c r="C13" s="63">
        <f>IF('0 AVAL'!C37 = "", "", '0 AVAL'!C37)</f>
        <v/>
      </c>
      <c r="D13" s="63" t="n"/>
      <c r="E13" s="113" t="n"/>
      <c r="F13" s="310" t="inlineStr">
        <is>
          <t>-</t>
        </is>
      </c>
      <c r="G13" s="310" t="inlineStr">
        <is>
          <t>-</t>
        </is>
      </c>
      <c r="H13" s="310" t="n"/>
      <c r="I13" s="424" t="n"/>
      <c r="J13" s="310" t="inlineStr">
        <is>
          <t>-</t>
        </is>
      </c>
      <c r="K13" s="341" t="n"/>
      <c r="L13" s="310" t="n"/>
      <c r="M13" s="310" t="inlineStr">
        <is>
          <t>-</t>
        </is>
      </c>
      <c r="N13" s="310" t="inlineStr">
        <is>
          <t>-</t>
        </is>
      </c>
      <c r="O13" s="310" t="n"/>
      <c r="P13" s="383" t="n"/>
      <c r="Q13" s="424" t="n"/>
    </row>
    <row r="14" ht="33" customHeight="1">
      <c r="A14" s="188" t="n">
        <v>3</v>
      </c>
      <c r="B14" s="63">
        <f>IF('0 AVAL'!B38 = "", "", '0 AVAL'!B38)</f>
        <v/>
      </c>
      <c r="C14" s="63">
        <f>IF('0 AVAL'!C38 = "", "", '0 AVAL'!C38)</f>
        <v/>
      </c>
      <c r="D14" s="63" t="n"/>
      <c r="E14" s="113" t="n"/>
      <c r="F14" s="310" t="inlineStr">
        <is>
          <t>-</t>
        </is>
      </c>
      <c r="G14" s="310" t="inlineStr">
        <is>
          <t>-</t>
        </is>
      </c>
      <c r="H14" s="310" t="n"/>
      <c r="I14" s="424" t="n"/>
      <c r="J14" s="310" t="inlineStr">
        <is>
          <t>-</t>
        </is>
      </c>
      <c r="K14" s="341" t="n"/>
      <c r="L14" s="310" t="n"/>
      <c r="M14" s="310" t="inlineStr">
        <is>
          <t>-</t>
        </is>
      </c>
      <c r="N14" s="310" t="inlineStr">
        <is>
          <t>-</t>
        </is>
      </c>
      <c r="O14" s="310" t="n"/>
      <c r="P14" s="383" t="n"/>
      <c r="Q14" s="424" t="n"/>
    </row>
    <row r="15" ht="33" customHeight="1">
      <c r="A15" s="188" t="n">
        <v>4</v>
      </c>
      <c r="B15" s="63">
        <f>IF('0 AVAL'!B39 = "", "", '0 AVAL'!B39)</f>
        <v/>
      </c>
      <c r="C15" s="63">
        <f>IF('0 AVAL'!C39 = "", "", '0 AVAL'!C39)</f>
        <v/>
      </c>
      <c r="D15" s="63" t="n"/>
      <c r="E15" s="113" t="n"/>
      <c r="F15" s="310" t="inlineStr">
        <is>
          <t>-</t>
        </is>
      </c>
      <c r="G15" s="310" t="inlineStr">
        <is>
          <t>-</t>
        </is>
      </c>
      <c r="H15" s="310" t="n"/>
      <c r="I15" s="424" t="n"/>
      <c r="J15" s="310" t="inlineStr">
        <is>
          <t>-</t>
        </is>
      </c>
      <c r="K15" s="341" t="n"/>
      <c r="L15" s="310" t="n"/>
      <c r="M15" s="310" t="inlineStr">
        <is>
          <t>-</t>
        </is>
      </c>
      <c r="N15" s="310" t="inlineStr">
        <is>
          <t>-</t>
        </is>
      </c>
      <c r="O15" s="310" t="n"/>
      <c r="P15" s="383" t="n"/>
      <c r="Q15" s="424" t="n"/>
    </row>
    <row r="16" ht="33" customHeight="1">
      <c r="A16" s="188" t="n">
        <v>5</v>
      </c>
      <c r="B16" s="63">
        <f>IF('0 AVAL'!B40 = "", "", '0 AVAL'!B40)</f>
        <v/>
      </c>
      <c r="C16" s="63">
        <f>IF('0 AVAL'!C40 = "", "", '0 AVAL'!C40)</f>
        <v/>
      </c>
      <c r="D16" s="63" t="n"/>
      <c r="E16" s="113" t="n"/>
      <c r="F16" s="310" t="inlineStr">
        <is>
          <t>-</t>
        </is>
      </c>
      <c r="G16" s="310" t="inlineStr">
        <is>
          <t>-</t>
        </is>
      </c>
      <c r="H16" s="310" t="n"/>
      <c r="I16" s="424" t="n"/>
      <c r="J16" s="310" t="inlineStr">
        <is>
          <t>-</t>
        </is>
      </c>
      <c r="K16" s="341" t="n"/>
      <c r="L16" s="310" t="n"/>
      <c r="M16" s="310" t="inlineStr">
        <is>
          <t>-</t>
        </is>
      </c>
      <c r="N16" s="310" t="inlineStr">
        <is>
          <t>-</t>
        </is>
      </c>
      <c r="O16" s="310" t="n"/>
      <c r="P16" s="383" t="n"/>
      <c r="Q16" s="424" t="n"/>
    </row>
    <row r="17" ht="33" customHeight="1">
      <c r="A17" s="188" t="n">
        <v>6</v>
      </c>
      <c r="B17" s="63">
        <f>IF('0 AVAL'!B41 = "", "", '0 AVAL'!B41)</f>
        <v/>
      </c>
      <c r="C17" s="63">
        <f>IF('0 AVAL'!C41 = "", "", '0 AVAL'!C41)</f>
        <v/>
      </c>
      <c r="D17" s="63" t="n"/>
      <c r="E17" s="113" t="n"/>
      <c r="F17" s="310" t="inlineStr">
        <is>
          <t>-</t>
        </is>
      </c>
      <c r="G17" s="310" t="inlineStr">
        <is>
          <t>-</t>
        </is>
      </c>
      <c r="H17" s="310" t="n"/>
      <c r="I17" s="424" t="n"/>
      <c r="J17" s="310" t="inlineStr">
        <is>
          <t>-</t>
        </is>
      </c>
      <c r="K17" s="341" t="n"/>
      <c r="L17" s="310" t="n"/>
      <c r="M17" s="310" t="inlineStr">
        <is>
          <t>-</t>
        </is>
      </c>
      <c r="N17" s="310" t="inlineStr">
        <is>
          <t>-</t>
        </is>
      </c>
      <c r="O17" s="310" t="n"/>
      <c r="P17" s="383" t="n"/>
      <c r="Q17" s="424" t="n"/>
    </row>
    <row r="18" ht="33" customHeight="1">
      <c r="A18" s="188" t="n">
        <v>7</v>
      </c>
      <c r="B18" s="63">
        <f>IF('0 AVAL'!B42 = "", "", '0 AVAL'!B42)</f>
        <v/>
      </c>
      <c r="C18" s="63">
        <f>IF('0 AVAL'!C42 = "", "", '0 AVAL'!C42)</f>
        <v/>
      </c>
      <c r="D18" s="63" t="n"/>
      <c r="E18" s="113" t="n"/>
      <c r="F18" s="310" t="inlineStr">
        <is>
          <t>-</t>
        </is>
      </c>
      <c r="G18" s="310" t="inlineStr">
        <is>
          <t>-</t>
        </is>
      </c>
      <c r="H18" s="310" t="n"/>
      <c r="I18" s="424" t="n"/>
      <c r="J18" s="310" t="inlineStr">
        <is>
          <t>-</t>
        </is>
      </c>
      <c r="K18" s="341" t="n"/>
      <c r="L18" s="310" t="n"/>
      <c r="M18" s="310" t="inlineStr">
        <is>
          <t>-</t>
        </is>
      </c>
      <c r="N18" s="310" t="inlineStr">
        <is>
          <t>-</t>
        </is>
      </c>
      <c r="O18" s="310" t="n"/>
      <c r="P18" s="383" t="n"/>
      <c r="Q18" s="424" t="n"/>
    </row>
    <row r="19" ht="33" customHeight="1">
      <c r="A19" s="188" t="n">
        <v>8</v>
      </c>
      <c r="B19" s="63">
        <f>IF('0 AVAL'!B43 = "", "", '0 AVAL'!B43)</f>
        <v/>
      </c>
      <c r="C19" s="63">
        <f>IF('0 AVAL'!C43 = "", "", '0 AVAL'!C43)</f>
        <v/>
      </c>
      <c r="D19" s="63" t="n"/>
      <c r="E19" s="113" t="n"/>
      <c r="F19" s="310" t="inlineStr">
        <is>
          <t>-</t>
        </is>
      </c>
      <c r="G19" s="310" t="inlineStr">
        <is>
          <t>-</t>
        </is>
      </c>
      <c r="H19" s="310" t="n"/>
      <c r="I19" s="424" t="n"/>
      <c r="J19" s="310" t="inlineStr">
        <is>
          <t>-</t>
        </is>
      </c>
      <c r="K19" s="341" t="n"/>
      <c r="L19" s="310" t="n"/>
      <c r="M19" s="310" t="inlineStr">
        <is>
          <t>-</t>
        </is>
      </c>
      <c r="N19" s="310" t="inlineStr">
        <is>
          <t>-</t>
        </is>
      </c>
      <c r="O19" s="310" t="n"/>
      <c r="P19" s="383" t="n"/>
      <c r="Q19" s="424" t="n"/>
    </row>
    <row r="20" ht="33" customHeight="1">
      <c r="A20" s="188" t="n">
        <v>9</v>
      </c>
      <c r="B20" s="63">
        <f>IF('0 AVAL'!B44 = "", "", '0 AVAL'!B44)</f>
        <v/>
      </c>
      <c r="C20" s="63">
        <f>IF('0 AVAL'!C44 = "", "", '0 AVAL'!C44)</f>
        <v/>
      </c>
      <c r="D20" s="63" t="n"/>
      <c r="E20" s="113" t="n"/>
      <c r="F20" s="310" t="inlineStr">
        <is>
          <t>-</t>
        </is>
      </c>
      <c r="G20" s="310" t="inlineStr">
        <is>
          <t>-</t>
        </is>
      </c>
      <c r="H20" s="310" t="n"/>
      <c r="I20" s="424" t="n"/>
      <c r="J20" s="310" t="inlineStr">
        <is>
          <t>-</t>
        </is>
      </c>
      <c r="K20" s="341" t="n"/>
      <c r="L20" s="310" t="n"/>
      <c r="M20" s="310" t="inlineStr">
        <is>
          <t>-</t>
        </is>
      </c>
      <c r="N20" s="310" t="inlineStr">
        <is>
          <t>-</t>
        </is>
      </c>
      <c r="O20" s="310" t="n"/>
      <c r="P20" s="383" t="n"/>
      <c r="Q20" s="424" t="n"/>
    </row>
    <row r="21" ht="33" customHeight="1">
      <c r="A21" s="188" t="n">
        <v>10</v>
      </c>
      <c r="B21" s="63">
        <f>IF('0 AVAL'!B45 = "", "", '0 AVAL'!B45)</f>
        <v/>
      </c>
      <c r="C21" s="63">
        <f>IF('0 AVAL'!C45 = "", "", '0 AVAL'!C45)</f>
        <v/>
      </c>
      <c r="D21" s="63" t="n"/>
      <c r="E21" s="113" t="n"/>
      <c r="F21" s="310" t="inlineStr">
        <is>
          <t>-</t>
        </is>
      </c>
      <c r="G21" s="310" t="inlineStr">
        <is>
          <t>-</t>
        </is>
      </c>
      <c r="H21" s="310" t="n"/>
      <c r="I21" s="424" t="n"/>
      <c r="J21" s="310" t="inlineStr">
        <is>
          <t>-</t>
        </is>
      </c>
      <c r="K21" s="341" t="n"/>
      <c r="L21" s="310" t="n"/>
      <c r="M21" s="310" t="inlineStr">
        <is>
          <t>-</t>
        </is>
      </c>
      <c r="N21" s="310" t="inlineStr">
        <is>
          <t>-</t>
        </is>
      </c>
      <c r="O21" s="310" t="n"/>
      <c r="P21" s="383" t="n"/>
      <c r="Q21" s="424" t="n"/>
    </row>
    <row r="22" ht="33" customHeight="1">
      <c r="A22" s="188" t="n">
        <v>11</v>
      </c>
      <c r="B22" s="63">
        <f>IF('0 AVAL'!B46 = "", "", '0 AVAL'!B46)</f>
        <v/>
      </c>
      <c r="C22" s="63">
        <f>IF('0 AVAL'!C46 = "", "", '0 AVAL'!C46)</f>
        <v/>
      </c>
      <c r="D22" s="63" t="n"/>
      <c r="E22" s="113" t="n"/>
      <c r="F22" s="310" t="inlineStr">
        <is>
          <t>-</t>
        </is>
      </c>
      <c r="G22" s="310" t="inlineStr">
        <is>
          <t>-</t>
        </is>
      </c>
      <c r="H22" s="310" t="n"/>
      <c r="I22" s="424" t="n"/>
      <c r="J22" s="310" t="inlineStr">
        <is>
          <t>-</t>
        </is>
      </c>
      <c r="K22" s="341" t="n"/>
      <c r="L22" s="310" t="n"/>
      <c r="M22" s="310" t="inlineStr">
        <is>
          <t>-</t>
        </is>
      </c>
      <c r="N22" s="310" t="inlineStr">
        <is>
          <t>-</t>
        </is>
      </c>
      <c r="O22" s="310" t="n"/>
      <c r="P22" s="383" t="n"/>
      <c r="Q22" s="424" t="n"/>
    </row>
    <row r="23" ht="33" customHeight="1">
      <c r="A23" s="188" t="n">
        <v>12</v>
      </c>
      <c r="B23" s="63">
        <f>IF('0 AVAL'!B47 = "", "", '0 AVAL'!B47)</f>
        <v/>
      </c>
      <c r="C23" s="63">
        <f>IF('0 AVAL'!C47 = "", "", '0 AVAL'!C47)</f>
        <v/>
      </c>
      <c r="D23" s="63" t="n"/>
      <c r="E23" s="113" t="n"/>
      <c r="F23" s="310" t="inlineStr">
        <is>
          <t>-</t>
        </is>
      </c>
      <c r="G23" s="310" t="inlineStr">
        <is>
          <t>-</t>
        </is>
      </c>
      <c r="H23" s="310" t="n"/>
      <c r="I23" s="424" t="n"/>
      <c r="J23" s="310" t="inlineStr">
        <is>
          <t>-</t>
        </is>
      </c>
      <c r="K23" s="341" t="n"/>
      <c r="L23" s="310" t="n"/>
      <c r="M23" s="310" t="inlineStr">
        <is>
          <t>-</t>
        </is>
      </c>
      <c r="N23" s="310" t="inlineStr">
        <is>
          <t>-</t>
        </is>
      </c>
      <c r="O23" s="310" t="n"/>
      <c r="P23" s="383" t="n"/>
      <c r="Q23" s="424" t="n"/>
    </row>
    <row r="24" ht="33" customHeight="1">
      <c r="A24" s="188" t="n">
        <v>13</v>
      </c>
      <c r="B24" s="63">
        <f>IF('0 AVAL'!B48 = "", "", '0 AVAL'!B48)</f>
        <v/>
      </c>
      <c r="C24" s="63">
        <f>IF('0 AVAL'!C48 = "", "", '0 AVAL'!C48)</f>
        <v/>
      </c>
      <c r="D24" s="63" t="n"/>
      <c r="E24" s="113" t="n"/>
      <c r="F24" s="310" t="inlineStr">
        <is>
          <t>-</t>
        </is>
      </c>
      <c r="G24" s="310" t="inlineStr">
        <is>
          <t>-</t>
        </is>
      </c>
      <c r="H24" s="310" t="n"/>
      <c r="I24" s="424" t="n"/>
      <c r="J24" s="310" t="inlineStr">
        <is>
          <t>-</t>
        </is>
      </c>
      <c r="K24" s="341" t="n"/>
      <c r="L24" s="310" t="n"/>
      <c r="M24" s="310" t="inlineStr">
        <is>
          <t>-</t>
        </is>
      </c>
      <c r="N24" s="310" t="inlineStr">
        <is>
          <t>-</t>
        </is>
      </c>
      <c r="O24" s="310" t="n"/>
      <c r="P24" s="383" t="n"/>
      <c r="Q24" s="424" t="n"/>
    </row>
    <row r="25" ht="33" customHeight="1">
      <c r="A25" s="188" t="n">
        <v>14</v>
      </c>
      <c r="B25" s="63">
        <f>IF('0 AVAL'!B49 = "", "", '0 AVAL'!B49)</f>
        <v/>
      </c>
      <c r="C25" s="63">
        <f>IF('0 AVAL'!C49 = "", "", '0 AVAL'!C49)</f>
        <v/>
      </c>
      <c r="D25" s="63" t="n"/>
      <c r="E25" s="113" t="n"/>
      <c r="F25" s="310" t="inlineStr">
        <is>
          <t>-</t>
        </is>
      </c>
      <c r="G25" s="310" t="inlineStr">
        <is>
          <t>-</t>
        </is>
      </c>
      <c r="H25" s="310" t="n"/>
      <c r="I25" s="424" t="n"/>
      <c r="J25" s="310" t="inlineStr">
        <is>
          <t>-</t>
        </is>
      </c>
      <c r="K25" s="341" t="n"/>
      <c r="L25" s="310" t="n"/>
      <c r="M25" s="310" t="inlineStr">
        <is>
          <t>-</t>
        </is>
      </c>
      <c r="N25" s="310" t="inlineStr">
        <is>
          <t>-</t>
        </is>
      </c>
      <c r="O25" s="310" t="n"/>
      <c r="P25" s="383" t="n"/>
      <c r="Q25" s="424" t="n"/>
    </row>
    <row r="26" ht="33" customHeight="1">
      <c r="A26" s="188" t="n">
        <v>15</v>
      </c>
      <c r="B26" s="63">
        <f>IF('0 AVAL'!B50 = "", "", '0 AVAL'!B50)</f>
        <v/>
      </c>
      <c r="C26" s="63">
        <f>IF('0 AVAL'!C50 = "", "", '0 AVAL'!C50)</f>
        <v/>
      </c>
      <c r="D26" s="63" t="n"/>
      <c r="E26" s="113" t="n"/>
      <c r="F26" s="310" t="inlineStr">
        <is>
          <t>-</t>
        </is>
      </c>
      <c r="G26" s="310" t="inlineStr">
        <is>
          <t>-</t>
        </is>
      </c>
      <c r="H26" s="310" t="n"/>
      <c r="I26" s="424" t="n"/>
      <c r="J26" s="310" t="inlineStr">
        <is>
          <t>-</t>
        </is>
      </c>
      <c r="K26" s="341" t="n"/>
      <c r="L26" s="310" t="n"/>
      <c r="M26" s="310" t="inlineStr">
        <is>
          <t>-</t>
        </is>
      </c>
      <c r="N26" s="310" t="inlineStr">
        <is>
          <t>-</t>
        </is>
      </c>
      <c r="O26" s="310" t="n"/>
      <c r="P26" s="383" t="n"/>
      <c r="Q26" s="424" t="n"/>
    </row>
    <row r="27" ht="33" customHeight="1">
      <c r="A27" s="188" t="n">
        <v>16</v>
      </c>
      <c r="B27" s="63">
        <f>IF('0 AVAL'!B51 = "", "", '0 AVAL'!B51)</f>
        <v/>
      </c>
      <c r="C27" s="63">
        <f>IF('0 AVAL'!C51 = "", "", '0 AVAL'!C51)</f>
        <v/>
      </c>
      <c r="D27" s="63" t="n"/>
      <c r="E27" s="113" t="n"/>
      <c r="F27" s="310" t="inlineStr">
        <is>
          <t>-</t>
        </is>
      </c>
      <c r="G27" s="310" t="inlineStr">
        <is>
          <t>-</t>
        </is>
      </c>
      <c r="H27" s="310" t="n"/>
      <c r="I27" s="424" t="n"/>
      <c r="J27" s="310" t="inlineStr">
        <is>
          <t>-</t>
        </is>
      </c>
      <c r="K27" s="341" t="n"/>
      <c r="L27" s="310" t="n"/>
      <c r="M27" s="310" t="inlineStr">
        <is>
          <t>-</t>
        </is>
      </c>
      <c r="N27" s="310" t="inlineStr">
        <is>
          <t>-</t>
        </is>
      </c>
      <c r="O27" s="310" t="n"/>
      <c r="P27" s="383" t="n"/>
      <c r="Q27" s="424" t="n"/>
    </row>
    <row r="28" ht="33" customHeight="1">
      <c r="A28" s="188" t="n">
        <v>17</v>
      </c>
      <c r="B28" s="63">
        <f>IF('0 AVAL'!B52 = "", "", '0 AVAL'!B52)</f>
        <v/>
      </c>
      <c r="C28" s="63">
        <f>IF('0 AVAL'!C52 = "", "", '0 AVAL'!C52)</f>
        <v/>
      </c>
      <c r="D28" s="63" t="n"/>
      <c r="E28" s="113" t="n"/>
      <c r="F28" s="310" t="inlineStr">
        <is>
          <t>-</t>
        </is>
      </c>
      <c r="G28" s="310" t="inlineStr">
        <is>
          <t>-</t>
        </is>
      </c>
      <c r="H28" s="310" t="n"/>
      <c r="I28" s="424" t="n"/>
      <c r="J28" s="310" t="inlineStr">
        <is>
          <t>-</t>
        </is>
      </c>
      <c r="K28" s="341" t="n"/>
      <c r="L28" s="310" t="n"/>
      <c r="M28" s="310" t="inlineStr">
        <is>
          <t>-</t>
        </is>
      </c>
      <c r="N28" s="310" t="inlineStr">
        <is>
          <t>-</t>
        </is>
      </c>
      <c r="O28" s="310" t="n"/>
      <c r="P28" s="383" t="n"/>
      <c r="Q28" s="424" t="n"/>
    </row>
    <row r="29" ht="33" customHeight="1">
      <c r="A29" s="188" t="n">
        <v>18</v>
      </c>
      <c r="B29" s="63">
        <f>IF('0 AVAL'!B53 = "", "", '0 AVAL'!B53)</f>
        <v/>
      </c>
      <c r="C29" s="63">
        <f>IF('0 AVAL'!C53 = "", "", '0 AVAL'!C53)</f>
        <v/>
      </c>
      <c r="D29" s="63" t="n"/>
      <c r="E29" s="113" t="n"/>
      <c r="F29" s="310" t="inlineStr">
        <is>
          <t>-</t>
        </is>
      </c>
      <c r="G29" s="310" t="inlineStr">
        <is>
          <t>-</t>
        </is>
      </c>
      <c r="H29" s="310" t="n"/>
      <c r="I29" s="424" t="n"/>
      <c r="J29" s="310" t="inlineStr">
        <is>
          <t>-</t>
        </is>
      </c>
      <c r="K29" s="341" t="n"/>
      <c r="L29" s="310" t="n"/>
      <c r="M29" s="310" t="inlineStr">
        <is>
          <t>-</t>
        </is>
      </c>
      <c r="N29" s="310" t="inlineStr">
        <is>
          <t>-</t>
        </is>
      </c>
      <c r="O29" s="310" t="n"/>
      <c r="P29" s="383" t="n"/>
      <c r="Q29" s="424" t="n"/>
    </row>
    <row r="30" ht="33" customHeight="1">
      <c r="A30" s="188" t="n">
        <v>19</v>
      </c>
      <c r="B30" s="63">
        <f>IF('0 AVAL'!B54 = "", "", '0 AVAL'!B54)</f>
        <v/>
      </c>
      <c r="C30" s="63">
        <f>IF('0 AVAL'!C54 = "", "", '0 AVAL'!C54)</f>
        <v/>
      </c>
      <c r="D30" s="63" t="n"/>
      <c r="E30" s="113" t="n"/>
      <c r="F30" s="310" t="inlineStr">
        <is>
          <t>-</t>
        </is>
      </c>
      <c r="G30" s="310" t="inlineStr">
        <is>
          <t>-</t>
        </is>
      </c>
      <c r="H30" s="310" t="n"/>
      <c r="I30" s="424" t="n"/>
      <c r="J30" s="310" t="inlineStr">
        <is>
          <t>-</t>
        </is>
      </c>
      <c r="K30" s="341" t="n"/>
      <c r="L30" s="310" t="n"/>
      <c r="M30" s="310" t="inlineStr">
        <is>
          <t>-</t>
        </is>
      </c>
      <c r="N30" s="310" t="inlineStr">
        <is>
          <t>-</t>
        </is>
      </c>
      <c r="O30" s="310" t="n"/>
      <c r="P30" s="383" t="n"/>
      <c r="Q30" s="424" t="n"/>
    </row>
    <row r="31" ht="33" customHeight="1">
      <c r="A31" s="188" t="n">
        <v>20</v>
      </c>
      <c r="B31" s="63">
        <f>IF('0 AVAL'!B55 = "", "", '0 AVAL'!B55)</f>
        <v/>
      </c>
      <c r="C31" s="63">
        <f>IF('0 AVAL'!C55 = "", "", '0 AVAL'!C55)</f>
        <v/>
      </c>
      <c r="D31" s="63" t="n"/>
      <c r="E31" s="113" t="n"/>
      <c r="F31" s="310" t="inlineStr">
        <is>
          <t>-</t>
        </is>
      </c>
      <c r="G31" s="310" t="inlineStr">
        <is>
          <t>-</t>
        </is>
      </c>
      <c r="H31" s="310" t="n"/>
      <c r="I31" s="424" t="n"/>
      <c r="J31" s="310" t="inlineStr">
        <is>
          <t>-</t>
        </is>
      </c>
      <c r="K31" s="341" t="n"/>
      <c r="L31" s="310" t="n"/>
      <c r="M31" s="310" t="inlineStr">
        <is>
          <t>-</t>
        </is>
      </c>
      <c r="N31" s="310" t="inlineStr">
        <is>
          <t>-</t>
        </is>
      </c>
      <c r="O31" s="310" t="n"/>
      <c r="P31" s="383" t="n"/>
      <c r="Q31" s="424" t="n"/>
    </row>
    <row r="32" ht="33" customHeight="1">
      <c r="A32" s="188" t="n">
        <v>21</v>
      </c>
      <c r="B32" s="63">
        <f>IF('0 AVAL'!B56 = "", "", '0 AVAL'!B56)</f>
        <v/>
      </c>
      <c r="C32" s="63">
        <f>IF('0 AVAL'!C56 = "", "", '0 AVAL'!C56)</f>
        <v/>
      </c>
      <c r="D32" s="63" t="n"/>
      <c r="E32" s="113" t="n"/>
      <c r="F32" s="310" t="inlineStr">
        <is>
          <t>-</t>
        </is>
      </c>
      <c r="G32" s="310" t="inlineStr">
        <is>
          <t>-</t>
        </is>
      </c>
      <c r="H32" s="310" t="n"/>
      <c r="I32" s="424" t="n"/>
      <c r="J32" s="310" t="inlineStr">
        <is>
          <t>-</t>
        </is>
      </c>
      <c r="K32" s="341" t="n"/>
      <c r="L32" s="310" t="n"/>
      <c r="M32" s="310" t="inlineStr">
        <is>
          <t>-</t>
        </is>
      </c>
      <c r="N32" s="310" t="inlineStr">
        <is>
          <t>-</t>
        </is>
      </c>
      <c r="O32" s="310" t="n"/>
      <c r="P32" s="383" t="n"/>
      <c r="Q32" s="424" t="n"/>
    </row>
    <row r="33" ht="33" customHeight="1">
      <c r="A33" s="188" t="n">
        <v>22</v>
      </c>
      <c r="B33" s="63">
        <f>IF('0 AVAL'!B57 = "", "", '0 AVAL'!B57)</f>
        <v/>
      </c>
      <c r="C33" s="63">
        <f>IF('0 AVAL'!C57 = "", "", '0 AVAL'!C57)</f>
        <v/>
      </c>
      <c r="D33" s="63" t="n"/>
      <c r="E33" s="113" t="n"/>
      <c r="F33" s="310" t="inlineStr">
        <is>
          <t>-</t>
        </is>
      </c>
      <c r="G33" s="310" t="inlineStr">
        <is>
          <t>-</t>
        </is>
      </c>
      <c r="H33" s="310" t="n"/>
      <c r="I33" s="424" t="n"/>
      <c r="J33" s="310" t="inlineStr">
        <is>
          <t>-</t>
        </is>
      </c>
      <c r="K33" s="341" t="n"/>
      <c r="L33" s="310" t="n"/>
      <c r="M33" s="310" t="inlineStr">
        <is>
          <t>-</t>
        </is>
      </c>
      <c r="N33" s="310" t="inlineStr">
        <is>
          <t>-</t>
        </is>
      </c>
      <c r="O33" s="310" t="n"/>
      <c r="P33" s="383" t="n"/>
      <c r="Q33" s="424" t="n"/>
    </row>
    <row r="34" ht="33" customHeight="1">
      <c r="A34" s="188" t="n">
        <v>23</v>
      </c>
      <c r="B34" s="63">
        <f>IF('0 AVAL'!B58 = "", "", '0 AVAL'!B58)</f>
        <v/>
      </c>
      <c r="C34" s="63">
        <f>IF('0 AVAL'!C58 = "", "", '0 AVAL'!C58)</f>
        <v/>
      </c>
      <c r="D34" s="63" t="n"/>
      <c r="E34" s="113" t="n"/>
      <c r="F34" s="310" t="inlineStr">
        <is>
          <t>-</t>
        </is>
      </c>
      <c r="G34" s="310" t="inlineStr">
        <is>
          <t>-</t>
        </is>
      </c>
      <c r="H34" s="310" t="n"/>
      <c r="I34" s="424" t="n"/>
      <c r="J34" s="310" t="inlineStr">
        <is>
          <t>-</t>
        </is>
      </c>
      <c r="K34" s="341" t="n"/>
      <c r="L34" s="310" t="n"/>
      <c r="M34" s="310" t="inlineStr">
        <is>
          <t>-</t>
        </is>
      </c>
      <c r="N34" s="310" t="inlineStr">
        <is>
          <t>-</t>
        </is>
      </c>
      <c r="O34" s="310" t="n"/>
      <c r="P34" s="383" t="n"/>
      <c r="Q34" s="424" t="n"/>
    </row>
    <row r="35" ht="33" customHeight="1">
      <c r="A35" s="188" t="n">
        <v>24</v>
      </c>
      <c r="B35" s="63">
        <f>IF('0 AVAL'!B59 = "", "", '0 AVAL'!B59)</f>
        <v/>
      </c>
      <c r="C35" s="63">
        <f>IF('0 AVAL'!C59 = "", "", '0 AVAL'!C59)</f>
        <v/>
      </c>
      <c r="D35" s="63" t="n"/>
      <c r="E35" s="113" t="n"/>
      <c r="F35" s="310" t="inlineStr">
        <is>
          <t>-</t>
        </is>
      </c>
      <c r="G35" s="310" t="inlineStr">
        <is>
          <t>-</t>
        </is>
      </c>
      <c r="H35" s="310" t="n"/>
      <c r="I35" s="424" t="n"/>
      <c r="J35" s="310" t="inlineStr">
        <is>
          <t>-</t>
        </is>
      </c>
      <c r="K35" s="341" t="n"/>
      <c r="L35" s="310" t="n"/>
      <c r="M35" s="310" t="inlineStr">
        <is>
          <t>-</t>
        </is>
      </c>
      <c r="N35" s="310" t="inlineStr">
        <is>
          <t>-</t>
        </is>
      </c>
      <c r="O35" s="310" t="n"/>
      <c r="P35" s="383" t="n"/>
      <c r="Q35" s="424" t="n"/>
    </row>
    <row r="36" ht="33" customHeight="1">
      <c r="A36" s="188" t="n">
        <v>25</v>
      </c>
      <c r="B36" s="63">
        <f>IF('0 AVAL'!B60 = "", "", '0 AVAL'!B60)</f>
        <v/>
      </c>
      <c r="C36" s="63">
        <f>IF('0 AVAL'!C60 = "", "", '0 AVAL'!C60)</f>
        <v/>
      </c>
      <c r="D36" s="63" t="n"/>
      <c r="E36" s="113" t="n"/>
      <c r="F36" s="310" t="inlineStr">
        <is>
          <t>-</t>
        </is>
      </c>
      <c r="G36" s="310" t="inlineStr">
        <is>
          <t>-</t>
        </is>
      </c>
      <c r="H36" s="310" t="n"/>
      <c r="I36" s="424" t="n"/>
      <c r="J36" s="310" t="inlineStr">
        <is>
          <t>-</t>
        </is>
      </c>
      <c r="K36" s="341" t="n"/>
      <c r="L36" s="310" t="n"/>
      <c r="M36" s="310" t="inlineStr">
        <is>
          <t>-</t>
        </is>
      </c>
      <c r="N36" s="310" t="inlineStr">
        <is>
          <t>-</t>
        </is>
      </c>
      <c r="O36" s="310" t="n"/>
      <c r="P36" s="383" t="n"/>
      <c r="Q36" s="424" t="n"/>
    </row>
    <row r="37" ht="33" customHeight="1">
      <c r="A37" s="188" t="n">
        <v>26</v>
      </c>
      <c r="B37" s="63">
        <f>IF('0 AVAL'!B61 = "", "", '0 AVAL'!B61)</f>
        <v/>
      </c>
      <c r="C37" s="63">
        <f>IF('0 AVAL'!C61 = "", "", '0 AVAL'!C61)</f>
        <v/>
      </c>
      <c r="D37" s="63" t="n"/>
      <c r="E37" s="113" t="n"/>
      <c r="F37" s="310" t="inlineStr">
        <is>
          <t>-</t>
        </is>
      </c>
      <c r="G37" s="310" t="inlineStr">
        <is>
          <t>-</t>
        </is>
      </c>
      <c r="H37" s="310" t="n"/>
      <c r="I37" s="424" t="n"/>
      <c r="J37" s="310" t="inlineStr">
        <is>
          <t>-</t>
        </is>
      </c>
      <c r="K37" s="341" t="n"/>
      <c r="L37" s="310" t="n"/>
      <c r="M37" s="310" t="inlineStr">
        <is>
          <t>-</t>
        </is>
      </c>
      <c r="N37" s="310" t="inlineStr">
        <is>
          <t>-</t>
        </is>
      </c>
      <c r="O37" s="310" t="n"/>
      <c r="P37" s="383" t="n"/>
      <c r="Q37" s="424" t="n"/>
    </row>
    <row r="38" ht="33" customHeight="1">
      <c r="A38" s="188" t="n">
        <v>27</v>
      </c>
      <c r="B38" s="63">
        <f>IF('0 AVAL'!B62 = "", "", '0 AVAL'!B62)</f>
        <v/>
      </c>
      <c r="C38" s="63">
        <f>IF('0 AVAL'!C62 = "", "", '0 AVAL'!C62)</f>
        <v/>
      </c>
      <c r="D38" s="63" t="n"/>
      <c r="E38" s="113" t="n"/>
      <c r="F38" s="310" t="inlineStr">
        <is>
          <t>-</t>
        </is>
      </c>
      <c r="G38" s="310" t="inlineStr">
        <is>
          <t>-</t>
        </is>
      </c>
      <c r="H38" s="310" t="n"/>
      <c r="I38" s="424" t="n"/>
      <c r="J38" s="310" t="inlineStr">
        <is>
          <t>-</t>
        </is>
      </c>
      <c r="K38" s="341" t="n"/>
      <c r="L38" s="310" t="n"/>
      <c r="M38" s="310" t="inlineStr">
        <is>
          <t>-</t>
        </is>
      </c>
      <c r="N38" s="310" t="inlineStr">
        <is>
          <t>-</t>
        </is>
      </c>
      <c r="O38" s="310" t="n"/>
      <c r="P38" s="383" t="n"/>
      <c r="Q38" s="424" t="n"/>
    </row>
    <row r="39" ht="33" customHeight="1">
      <c r="A39" s="188" t="n">
        <v>28</v>
      </c>
      <c r="B39" s="63">
        <f>IF('0 AVAL'!B63 = "", "", '0 AVAL'!B63)</f>
        <v/>
      </c>
      <c r="C39" s="63">
        <f>IF('0 AVAL'!C63 = "", "", '0 AVAL'!C63)</f>
        <v/>
      </c>
      <c r="D39" s="63" t="n"/>
      <c r="E39" s="113" t="n"/>
      <c r="F39" s="310" t="inlineStr">
        <is>
          <t>-</t>
        </is>
      </c>
      <c r="G39" s="310" t="inlineStr">
        <is>
          <t>-</t>
        </is>
      </c>
      <c r="H39" s="310" t="n"/>
      <c r="I39" s="424" t="n"/>
      <c r="J39" s="310" t="inlineStr">
        <is>
          <t>-</t>
        </is>
      </c>
      <c r="K39" s="341" t="n"/>
      <c r="L39" s="310" t="n"/>
      <c r="M39" s="310" t="inlineStr">
        <is>
          <t>-</t>
        </is>
      </c>
      <c r="N39" s="310" t="inlineStr">
        <is>
          <t>-</t>
        </is>
      </c>
      <c r="O39" s="310" t="n"/>
      <c r="P39" s="383" t="n"/>
      <c r="Q39" s="424" t="n"/>
    </row>
    <row r="40" ht="33" customHeight="1">
      <c r="A40" s="188" t="n">
        <v>29</v>
      </c>
      <c r="B40" s="63">
        <f>IF('0 AVAL'!B64 = "", "", '0 AVAL'!B64)</f>
        <v/>
      </c>
      <c r="C40" s="63">
        <f>IF('0 AVAL'!C64 = "", "", '0 AVAL'!C64)</f>
        <v/>
      </c>
      <c r="D40" s="63" t="n"/>
      <c r="E40" s="113" t="n"/>
      <c r="F40" s="310" t="inlineStr">
        <is>
          <t>-</t>
        </is>
      </c>
      <c r="G40" s="310" t="inlineStr">
        <is>
          <t>-</t>
        </is>
      </c>
      <c r="H40" s="310" t="n"/>
      <c r="I40" s="424" t="n"/>
      <c r="J40" s="310" t="inlineStr">
        <is>
          <t>-</t>
        </is>
      </c>
      <c r="K40" s="341" t="n"/>
      <c r="L40" s="310" t="n"/>
      <c r="M40" s="310" t="inlineStr">
        <is>
          <t>-</t>
        </is>
      </c>
      <c r="N40" s="310" t="inlineStr">
        <is>
          <t>-</t>
        </is>
      </c>
      <c r="O40" s="310" t="n"/>
      <c r="P40" s="383" t="n"/>
      <c r="Q40" s="424" t="n"/>
    </row>
    <row r="41" ht="33" customHeight="1">
      <c r="A41" s="188" t="n">
        <v>30</v>
      </c>
      <c r="B41" s="63">
        <f>IF('0 AVAL'!B65 = "", "", '0 AVAL'!B65)</f>
        <v/>
      </c>
      <c r="C41" s="63">
        <f>IF('0 AVAL'!C65 = "", "", '0 AVAL'!C65)</f>
        <v/>
      </c>
      <c r="D41" s="63" t="n"/>
      <c r="E41" s="113" t="n"/>
      <c r="F41" s="310" t="inlineStr">
        <is>
          <t>-</t>
        </is>
      </c>
      <c r="G41" s="310" t="inlineStr">
        <is>
          <t>-</t>
        </is>
      </c>
      <c r="H41" s="310" t="n"/>
      <c r="I41" s="424" t="n"/>
      <c r="J41" s="310" t="inlineStr">
        <is>
          <t>-</t>
        </is>
      </c>
      <c r="K41" s="341" t="n"/>
      <c r="L41" s="310" t="n"/>
      <c r="M41" s="310" t="inlineStr">
        <is>
          <t>-</t>
        </is>
      </c>
      <c r="N41" s="310" t="inlineStr">
        <is>
          <t>-</t>
        </is>
      </c>
      <c r="O41" s="310" t="n"/>
      <c r="P41" s="383" t="n"/>
      <c r="Q41" s="424" t="n"/>
    </row>
    <row r="42" ht="33" customHeight="1">
      <c r="A42" s="188" t="n">
        <v>31</v>
      </c>
      <c r="B42" s="63">
        <f>IF('0 AVAL'!B66 = "", "", '0 AVAL'!B66)</f>
        <v/>
      </c>
      <c r="C42" s="63">
        <f>IF('0 AVAL'!C66 = "", "", '0 AVAL'!C66)</f>
        <v/>
      </c>
      <c r="D42" s="63" t="n"/>
      <c r="E42" s="113" t="n"/>
      <c r="F42" s="310" t="inlineStr">
        <is>
          <t>-</t>
        </is>
      </c>
      <c r="G42" s="310" t="inlineStr">
        <is>
          <t>-</t>
        </is>
      </c>
      <c r="H42" s="310" t="n"/>
      <c r="I42" s="424" t="n"/>
      <c r="J42" s="310" t="inlineStr">
        <is>
          <t>-</t>
        </is>
      </c>
      <c r="K42" s="341" t="n"/>
      <c r="L42" s="310" t="n"/>
      <c r="M42" s="310" t="inlineStr">
        <is>
          <t>-</t>
        </is>
      </c>
      <c r="N42" s="310" t="inlineStr">
        <is>
          <t>-</t>
        </is>
      </c>
      <c r="O42" s="310" t="n"/>
      <c r="P42" s="383" t="n"/>
      <c r="Q42" s="424" t="n"/>
    </row>
    <row r="43" ht="33" customHeight="1">
      <c r="A43" s="188" t="n">
        <v>32</v>
      </c>
      <c r="B43" s="63">
        <f>IF('0 AVAL'!B67 = "", "", '0 AVAL'!B67)</f>
        <v/>
      </c>
      <c r="C43" s="63">
        <f>IF('0 AVAL'!C67 = "", "", '0 AVAL'!C67)</f>
        <v/>
      </c>
      <c r="D43" s="63" t="n"/>
      <c r="E43" s="113" t="n"/>
      <c r="F43" s="310" t="inlineStr">
        <is>
          <t>-</t>
        </is>
      </c>
      <c r="G43" s="310" t="inlineStr">
        <is>
          <t>-</t>
        </is>
      </c>
      <c r="H43" s="310" t="n"/>
      <c r="I43" s="424" t="n"/>
      <c r="J43" s="310" t="inlineStr">
        <is>
          <t>-</t>
        </is>
      </c>
      <c r="K43" s="341" t="n"/>
      <c r="L43" s="310" t="n"/>
      <c r="M43" s="310" t="inlineStr">
        <is>
          <t>-</t>
        </is>
      </c>
      <c r="N43" s="310" t="inlineStr">
        <is>
          <t>-</t>
        </is>
      </c>
      <c r="O43" s="310" t="n"/>
      <c r="P43" s="383" t="n"/>
      <c r="Q43" s="424" t="n"/>
    </row>
    <row r="44" ht="33" customHeight="1">
      <c r="A44" s="188" t="n">
        <v>33</v>
      </c>
      <c r="B44" s="63">
        <f>IF('0 AVAL'!B68 = "", "", '0 AVAL'!B68)</f>
        <v/>
      </c>
      <c r="C44" s="63">
        <f>IF('0 AVAL'!C68 = "", "", '0 AVAL'!C68)</f>
        <v/>
      </c>
      <c r="D44" s="63" t="n"/>
      <c r="E44" s="113" t="n"/>
      <c r="F44" s="310" t="inlineStr">
        <is>
          <t>-</t>
        </is>
      </c>
      <c r="G44" s="310" t="inlineStr">
        <is>
          <t>-</t>
        </is>
      </c>
      <c r="H44" s="310" t="n"/>
      <c r="I44" s="424" t="n"/>
      <c r="J44" s="310" t="inlineStr">
        <is>
          <t>-</t>
        </is>
      </c>
      <c r="K44" s="341" t="n"/>
      <c r="L44" s="310" t="n"/>
      <c r="M44" s="310" t="inlineStr">
        <is>
          <t>-</t>
        </is>
      </c>
      <c r="N44" s="310" t="inlineStr">
        <is>
          <t>-</t>
        </is>
      </c>
      <c r="O44" s="310" t="n"/>
      <c r="P44" s="383" t="n"/>
      <c r="Q44" s="424" t="n"/>
    </row>
    <row r="45" ht="33" customHeight="1">
      <c r="A45" s="188" t="n">
        <v>34</v>
      </c>
      <c r="B45" s="63">
        <f>IF('0 AVAL'!B69 = "", "", '0 AVAL'!B69)</f>
        <v/>
      </c>
      <c r="C45" s="63">
        <f>IF('0 AVAL'!C69 = "", "", '0 AVAL'!C69)</f>
        <v/>
      </c>
      <c r="D45" s="63" t="n"/>
      <c r="E45" s="113" t="n"/>
      <c r="F45" s="310" t="inlineStr">
        <is>
          <t>-</t>
        </is>
      </c>
      <c r="G45" s="310" t="inlineStr">
        <is>
          <t>-</t>
        </is>
      </c>
      <c r="H45" s="310" t="n"/>
      <c r="I45" s="424" t="n"/>
      <c r="J45" s="310" t="inlineStr">
        <is>
          <t>-</t>
        </is>
      </c>
      <c r="K45" s="341" t="n"/>
      <c r="L45" s="310" t="n"/>
      <c r="M45" s="310" t="inlineStr">
        <is>
          <t>-</t>
        </is>
      </c>
      <c r="N45" s="310" t="inlineStr">
        <is>
          <t>-</t>
        </is>
      </c>
      <c r="O45" s="310" t="n"/>
      <c r="P45" s="383" t="n"/>
      <c r="Q45" s="424" t="n"/>
    </row>
    <row r="46" ht="33" customHeight="1">
      <c r="A46" s="188" t="n">
        <v>35</v>
      </c>
      <c r="B46" s="63">
        <f>IF('0 AVAL'!B70 = "", "", '0 AVAL'!B70)</f>
        <v/>
      </c>
      <c r="C46" s="63">
        <f>IF('0 AVAL'!C70 = "", "", '0 AVAL'!C70)</f>
        <v/>
      </c>
      <c r="D46" s="63" t="n"/>
      <c r="E46" s="113" t="n"/>
      <c r="F46" s="310" t="inlineStr">
        <is>
          <t>-</t>
        </is>
      </c>
      <c r="G46" s="310" t="inlineStr">
        <is>
          <t>-</t>
        </is>
      </c>
      <c r="H46" s="310" t="n"/>
      <c r="I46" s="424" t="n"/>
      <c r="J46" s="310" t="inlineStr">
        <is>
          <t>-</t>
        </is>
      </c>
      <c r="K46" s="341" t="n"/>
      <c r="L46" s="310" t="n"/>
      <c r="M46" s="310" t="inlineStr">
        <is>
          <t>-</t>
        </is>
      </c>
      <c r="N46" s="310" t="inlineStr">
        <is>
          <t>-</t>
        </is>
      </c>
      <c r="O46" s="310" t="n"/>
      <c r="P46" s="383" t="n"/>
      <c r="Q46" s="424" t="n"/>
    </row>
    <row r="47" ht="33" customHeight="1">
      <c r="A47" s="188" t="n">
        <v>36</v>
      </c>
      <c r="B47" s="63">
        <f>IF('0 AVAL'!B71 = "", "", '0 AVAL'!B71)</f>
        <v/>
      </c>
      <c r="C47" s="63">
        <f>IF('0 AVAL'!C71 = "", "", '0 AVAL'!C71)</f>
        <v/>
      </c>
      <c r="D47" s="63" t="n"/>
      <c r="E47" s="113" t="n"/>
      <c r="F47" s="310" t="inlineStr">
        <is>
          <t>-</t>
        </is>
      </c>
      <c r="G47" s="310" t="inlineStr">
        <is>
          <t>-</t>
        </is>
      </c>
      <c r="H47" s="310" t="n"/>
      <c r="I47" s="424" t="n"/>
      <c r="J47" s="310" t="inlineStr">
        <is>
          <t>-</t>
        </is>
      </c>
      <c r="K47" s="341" t="n"/>
      <c r="L47" s="310" t="n"/>
      <c r="M47" s="310" t="inlineStr">
        <is>
          <t>-</t>
        </is>
      </c>
      <c r="N47" s="310" t="inlineStr">
        <is>
          <t>-</t>
        </is>
      </c>
      <c r="O47" s="310" t="n"/>
      <c r="P47" s="383" t="n"/>
      <c r="Q47" s="424" t="n"/>
    </row>
    <row r="48" ht="33" customHeight="1">
      <c r="A48" s="188" t="n">
        <v>37</v>
      </c>
      <c r="B48" s="63">
        <f>IF('0 AVAL'!B72 = "", "", '0 AVAL'!B72)</f>
        <v/>
      </c>
      <c r="C48" s="63">
        <f>IF('0 AVAL'!C72 = "", "", '0 AVAL'!C72)</f>
        <v/>
      </c>
      <c r="D48" s="63" t="n"/>
      <c r="E48" s="113" t="n"/>
      <c r="F48" s="310" t="inlineStr">
        <is>
          <t>-</t>
        </is>
      </c>
      <c r="G48" s="310" t="inlineStr">
        <is>
          <t>-</t>
        </is>
      </c>
      <c r="H48" s="310" t="n"/>
      <c r="I48" s="424" t="n"/>
      <c r="J48" s="310" t="inlineStr">
        <is>
          <t>-</t>
        </is>
      </c>
      <c r="K48" s="341" t="n"/>
      <c r="L48" s="310" t="n"/>
      <c r="M48" s="310" t="inlineStr">
        <is>
          <t>-</t>
        </is>
      </c>
      <c r="N48" s="310" t="inlineStr">
        <is>
          <t>-</t>
        </is>
      </c>
      <c r="O48" s="310" t="n"/>
      <c r="P48" s="383" t="n"/>
      <c r="Q48" s="424" t="n"/>
    </row>
    <row r="49" ht="33" customHeight="1">
      <c r="A49" s="188" t="n">
        <v>38</v>
      </c>
      <c r="B49" s="63">
        <f>IF('0 AVAL'!B73 = "", "", '0 AVAL'!B73)</f>
        <v/>
      </c>
      <c r="C49" s="63">
        <f>IF('0 AVAL'!C73 = "", "", '0 AVAL'!C73)</f>
        <v/>
      </c>
      <c r="D49" s="63" t="n"/>
      <c r="E49" s="113" t="n"/>
      <c r="F49" s="310" t="inlineStr">
        <is>
          <t>-</t>
        </is>
      </c>
      <c r="G49" s="310" t="inlineStr">
        <is>
          <t>-</t>
        </is>
      </c>
      <c r="H49" s="310" t="n"/>
      <c r="I49" s="424" t="n"/>
      <c r="J49" s="310" t="inlineStr">
        <is>
          <t>-</t>
        </is>
      </c>
      <c r="K49" s="341" t="n"/>
      <c r="L49" s="310" t="n"/>
      <c r="M49" s="310" t="inlineStr">
        <is>
          <t>-</t>
        </is>
      </c>
      <c r="N49" s="310" t="inlineStr">
        <is>
          <t>-</t>
        </is>
      </c>
      <c r="O49" s="310" t="n"/>
      <c r="P49" s="383" t="n"/>
      <c r="Q49" s="424" t="n"/>
    </row>
    <row r="50" ht="33" customHeight="1">
      <c r="A50" s="188" t="n">
        <v>39</v>
      </c>
      <c r="B50" s="63">
        <f>IF('0 AVAL'!B74 = "", "", '0 AVAL'!B74)</f>
        <v/>
      </c>
      <c r="C50" s="63">
        <f>IF('0 AVAL'!C74 = "", "", '0 AVAL'!C74)</f>
        <v/>
      </c>
      <c r="D50" s="63" t="n"/>
      <c r="E50" s="113" t="n"/>
      <c r="F50" s="310" t="inlineStr">
        <is>
          <t>-</t>
        </is>
      </c>
      <c r="G50" s="310" t="inlineStr">
        <is>
          <t>-</t>
        </is>
      </c>
      <c r="H50" s="310" t="n"/>
      <c r="I50" s="424" t="n"/>
      <c r="J50" s="119" t="inlineStr">
        <is>
          <t>-</t>
        </is>
      </c>
      <c r="K50" s="120" t="n"/>
      <c r="L50" s="310" t="n"/>
      <c r="M50" s="310" t="inlineStr">
        <is>
          <t>-</t>
        </is>
      </c>
      <c r="N50" s="310" t="inlineStr">
        <is>
          <t>-</t>
        </is>
      </c>
      <c r="O50" s="310" t="n"/>
      <c r="P50" s="383" t="n"/>
      <c r="Q50" s="424" t="n"/>
    </row>
    <row r="51" ht="33" customHeight="1" thickBot="1">
      <c r="A51" s="188" t="n">
        <v>40</v>
      </c>
      <c r="B51" s="63">
        <f>IF('0 AVAL'!B75 = "", "", '0 AVAL'!B75)</f>
        <v/>
      </c>
      <c r="C51" s="63">
        <f>IF('0 AVAL'!C75 = "", "", '0 AVAL'!C75)</f>
        <v/>
      </c>
      <c r="D51" s="63" t="n"/>
      <c r="E51" s="121" t="n"/>
      <c r="F51" s="310" t="inlineStr">
        <is>
          <t>-</t>
        </is>
      </c>
      <c r="G51" s="310" t="inlineStr">
        <is>
          <t>-</t>
        </is>
      </c>
      <c r="H51" s="321" t="n"/>
      <c r="I51" s="425" t="n"/>
      <c r="J51" s="123" t="inlineStr">
        <is>
          <t>-</t>
        </is>
      </c>
      <c r="K51" s="124" t="n"/>
      <c r="L51" s="321" t="n"/>
      <c r="M51" s="310" t="inlineStr">
        <is>
          <t>-</t>
        </is>
      </c>
      <c r="N51" s="310" t="inlineStr">
        <is>
          <t>-</t>
        </is>
      </c>
      <c r="O51" s="321" t="n"/>
      <c r="P51" s="426" t="n"/>
      <c r="Q51" s="425" t="n"/>
    </row>
    <row r="52" ht="27" customFormat="1" customHeight="1" s="128">
      <c r="A52" s="99" t="n"/>
      <c r="B52" s="98" t="n"/>
      <c r="C52" s="126" t="n"/>
      <c r="D52" s="98" t="n"/>
      <c r="E52" s="98" t="n"/>
      <c r="F52" s="127" t="inlineStr">
        <is>
          <t>00,00% Sí</t>
        </is>
      </c>
      <c r="G52" s="98" t="n"/>
      <c r="H52" s="98" t="n"/>
      <c r="I52" s="98" t="n"/>
      <c r="J52" s="127" t="inlineStr">
        <is>
          <t>00,00% Sí</t>
        </is>
      </c>
      <c r="K52" s="98" t="n"/>
      <c r="M52" s="127" t="inlineStr">
        <is>
          <t>00,00% Sí</t>
        </is>
      </c>
      <c r="N52" s="127" t="inlineStr">
        <is>
          <t>00,00% Sí</t>
        </is>
      </c>
      <c r="O52" s="98" t="n"/>
      <c r="P52" s="98" t="n"/>
      <c r="Q52" s="98" t="n"/>
    </row>
    <row r="53" ht="27" customHeight="1" thickBot="1"/>
    <row r="54" ht="21.4" customFormat="1" customHeight="1" s="37" thickBot="1">
      <c r="B54" s="418" t="inlineStr">
        <is>
          <t>2- Acords adoptats de caràcter col·legiat per l'equip docent</t>
        </is>
      </c>
      <c r="C54" s="419" t="n"/>
      <c r="D54" s="419" t="n"/>
      <c r="E54" s="419" t="n"/>
      <c r="F54" s="419" t="n"/>
      <c r="G54" s="419" t="n"/>
      <c r="H54" s="419" t="n"/>
      <c r="I54" s="419" t="n"/>
      <c r="J54" s="419" t="n"/>
      <c r="K54" s="419" t="n"/>
      <c r="L54" s="419" t="n"/>
      <c r="M54" s="419" t="n"/>
      <c r="N54" s="419" t="n"/>
      <c r="O54" s="419" t="n"/>
      <c r="P54" s="420" t="n"/>
    </row>
    <row r="55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 ht="21.75" customFormat="1" customHeight="1" s="29">
      <c r="A56" s="129" t="n">
        <v>1</v>
      </c>
      <c r="B56" s="281" t="n"/>
      <c r="C56" s="387" t="n"/>
      <c r="D56" s="387" t="n"/>
      <c r="E56" s="387" t="n"/>
      <c r="F56" s="387" t="n"/>
      <c r="G56" s="387" t="n"/>
      <c r="H56" s="387" t="n"/>
      <c r="I56" s="387" t="n"/>
      <c r="J56" s="387" t="n"/>
      <c r="K56" s="421" t="inlineStr">
        <is>
          <t xml:space="preserve">Acta elaborada per: XXXXX. XX:XXh </t>
        </is>
      </c>
      <c r="L56" s="398" t="n"/>
      <c r="M56" s="398" t="n"/>
      <c r="N56" s="398" t="n"/>
      <c r="O56" s="398" t="n"/>
      <c r="P56" s="399" t="n"/>
    </row>
    <row r="57" ht="21.75" customFormat="1" customHeight="1" s="29">
      <c r="A57" s="129" t="n">
        <v>2</v>
      </c>
      <c r="B57" s="325" t="n"/>
      <c r="C57" s="394" t="n"/>
      <c r="D57" s="394" t="n"/>
      <c r="E57" s="394" t="n"/>
      <c r="F57" s="394" t="n"/>
      <c r="G57" s="394" t="n"/>
      <c r="H57" s="394" t="n"/>
      <c r="I57" s="394" t="n"/>
      <c r="J57" s="394" t="n"/>
      <c r="K57" s="400" t="n"/>
      <c r="P57" s="401" t="n"/>
    </row>
    <row r="58" ht="21.75" customFormat="1" customHeight="1" s="29">
      <c r="A58" s="129" t="n">
        <v>3</v>
      </c>
      <c r="B58" s="325" t="n"/>
      <c r="C58" s="394" t="n"/>
      <c r="D58" s="394" t="n"/>
      <c r="E58" s="394" t="n"/>
      <c r="F58" s="394" t="n"/>
      <c r="G58" s="394" t="n"/>
      <c r="H58" s="394" t="n"/>
      <c r="I58" s="394" t="n"/>
      <c r="J58" s="394" t="n"/>
      <c r="K58" s="400" t="n"/>
      <c r="P58" s="401" t="n"/>
    </row>
    <row r="59" ht="21.75" customFormat="1" customHeight="1" s="29">
      <c r="A59" s="129" t="n">
        <v>4</v>
      </c>
      <c r="B59" s="325" t="n"/>
      <c r="C59" s="394" t="n"/>
      <c r="D59" s="394" t="n"/>
      <c r="E59" s="394" t="n"/>
      <c r="F59" s="394" t="n"/>
      <c r="G59" s="394" t="n"/>
      <c r="H59" s="394" t="n"/>
      <c r="I59" s="394" t="n"/>
      <c r="J59" s="394" t="n"/>
      <c r="K59" s="400" t="n"/>
      <c r="P59" s="401" t="n"/>
    </row>
    <row r="60" ht="21.75" customFormat="1" customHeight="1" s="29">
      <c r="A60" s="129" t="n">
        <v>5</v>
      </c>
      <c r="B60" s="325" t="n"/>
      <c r="C60" s="394" t="n"/>
      <c r="D60" s="394" t="n"/>
      <c r="E60" s="394" t="n"/>
      <c r="F60" s="394" t="n"/>
      <c r="G60" s="394" t="n"/>
      <c r="H60" s="394" t="n"/>
      <c r="I60" s="394" t="n"/>
      <c r="J60" s="394" t="n"/>
      <c r="K60" s="400" t="n"/>
      <c r="P60" s="401" t="n"/>
    </row>
    <row r="61" ht="21.75" customFormat="1" customHeight="1" s="29">
      <c r="A61" s="129" t="n">
        <v>6</v>
      </c>
      <c r="B61" s="325" t="n"/>
      <c r="C61" s="394" t="n"/>
      <c r="D61" s="394" t="n"/>
      <c r="E61" s="394" t="n"/>
      <c r="F61" s="394" t="n"/>
      <c r="G61" s="394" t="n"/>
      <c r="H61" s="394" t="n"/>
      <c r="I61" s="394" t="n"/>
      <c r="J61" s="394" t="n"/>
      <c r="K61" s="400" t="n"/>
      <c r="P61" s="401" t="n"/>
    </row>
    <row r="62" ht="21.75" customFormat="1" customHeight="1" s="29" thickBot="1">
      <c r="A62" s="129" t="n">
        <v>7</v>
      </c>
      <c r="B62" s="319" t="n"/>
      <c r="C62" s="403" t="n"/>
      <c r="D62" s="403" t="n"/>
      <c r="E62" s="403" t="n"/>
      <c r="F62" s="403" t="n"/>
      <c r="G62" s="403" t="n"/>
      <c r="H62" s="403" t="n"/>
      <c r="I62" s="403" t="n"/>
      <c r="J62" s="403" t="n"/>
      <c r="K62" s="402" t="n"/>
      <c r="L62" s="403" t="n"/>
      <c r="M62" s="403" t="n"/>
      <c r="N62" s="403" t="n"/>
      <c r="O62" s="403" t="n"/>
      <c r="P62" s="404" t="n"/>
    </row>
    <row r="63" ht="36.75" customHeight="1">
      <c r="B63" s="320" t="inlineStr">
        <is>
          <t>En aquest document s'està realitzant un tractament de dades de l'alumnat que està regulat per la normativa vigent en matèria de Protecció de Dades de Caràcter Personal (LOPD 3/2018 i Resolució Conselleria
Educació, Investigació, Cultura i Esport del 28/6/2018). Recorda que les dades han de ser tractats de manera responsable i que has de guardar secret professional i no cedir o divulgar les dades ací contingudes.</t>
        </is>
      </c>
    </row>
  </sheetData>
  <mergeCells count="107">
    <mergeCell ref="O29:Q29"/>
    <mergeCell ref="H35:I35"/>
    <mergeCell ref="B61:J61"/>
    <mergeCell ref="O44:Q44"/>
    <mergeCell ref="O22:Q22"/>
    <mergeCell ref="O31:Q31"/>
    <mergeCell ref="H39:I39"/>
    <mergeCell ref="O21:Q21"/>
    <mergeCell ref="O51:Q51"/>
    <mergeCell ref="O47:Q47"/>
    <mergeCell ref="B9:P9"/>
    <mergeCell ref="J4:K4"/>
    <mergeCell ref="I2:I6"/>
    <mergeCell ref="H45:I45"/>
    <mergeCell ref="L3:O3"/>
    <mergeCell ref="H37:I37"/>
    <mergeCell ref="H13:I13"/>
    <mergeCell ref="L5:O5"/>
    <mergeCell ref="O19:Q19"/>
    <mergeCell ref="O33:Q33"/>
    <mergeCell ref="H15:I15"/>
    <mergeCell ref="L4:O4"/>
    <mergeCell ref="O39:Q39"/>
    <mergeCell ref="H23:I23"/>
    <mergeCell ref="H41:I41"/>
    <mergeCell ref="H50:I50"/>
    <mergeCell ref="O50:Q50"/>
    <mergeCell ref="H34:I34"/>
    <mergeCell ref="H25:I25"/>
    <mergeCell ref="O46:Q46"/>
    <mergeCell ref="O12:Q12"/>
    <mergeCell ref="H49:I49"/>
    <mergeCell ref="B2:C6"/>
    <mergeCell ref="H36:I36"/>
    <mergeCell ref="O48:Q48"/>
    <mergeCell ref="H17:I17"/>
    <mergeCell ref="H11:I11"/>
    <mergeCell ref="O14:Q14"/>
    <mergeCell ref="O23:Q23"/>
    <mergeCell ref="O38:Q38"/>
    <mergeCell ref="O13:Q13"/>
    <mergeCell ref="H19:I19"/>
    <mergeCell ref="H28:I28"/>
    <mergeCell ref="D2:G6"/>
    <mergeCell ref="J3:K3"/>
    <mergeCell ref="H12:I12"/>
    <mergeCell ref="O15:Q15"/>
    <mergeCell ref="O24:Q24"/>
    <mergeCell ref="H48:I48"/>
    <mergeCell ref="O18:Q18"/>
    <mergeCell ref="B56:J56"/>
    <mergeCell ref="H14:I14"/>
    <mergeCell ref="B58:J58"/>
    <mergeCell ref="O49:Q49"/>
    <mergeCell ref="H38:I38"/>
    <mergeCell ref="O41:Q41"/>
    <mergeCell ref="O35:Q35"/>
    <mergeCell ref="B60:J60"/>
    <mergeCell ref="H43:I43"/>
    <mergeCell ref="B57:J57"/>
    <mergeCell ref="L6:O6"/>
    <mergeCell ref="H31:I31"/>
    <mergeCell ref="O25:Q25"/>
    <mergeCell ref="H40:I40"/>
    <mergeCell ref="O43:Q43"/>
    <mergeCell ref="H21:I21"/>
    <mergeCell ref="O27:Q27"/>
    <mergeCell ref="O42:Q42"/>
    <mergeCell ref="O17:Q17"/>
    <mergeCell ref="K56:P62"/>
    <mergeCell ref="L7:O7"/>
    <mergeCell ref="H16:I16"/>
    <mergeCell ref="O37:Q37"/>
    <mergeCell ref="H22:I22"/>
    <mergeCell ref="B62:J62"/>
    <mergeCell ref="B59:J59"/>
    <mergeCell ref="H42:I42"/>
    <mergeCell ref="B63:O63"/>
    <mergeCell ref="H30:I30"/>
    <mergeCell ref="H20:I20"/>
    <mergeCell ref="J5:K5"/>
    <mergeCell ref="H29:I29"/>
    <mergeCell ref="O32:Q32"/>
    <mergeCell ref="O26:Q26"/>
    <mergeCell ref="H44:I44"/>
    <mergeCell ref="O16:Q16"/>
    <mergeCell ref="O40:Q40"/>
    <mergeCell ref="H46:I46"/>
    <mergeCell ref="J6:K6"/>
    <mergeCell ref="H51:I51"/>
    <mergeCell ref="O11:Q11"/>
    <mergeCell ref="H32:I32"/>
    <mergeCell ref="J7:K7"/>
    <mergeCell ref="H47:I47"/>
    <mergeCell ref="O34:Q34"/>
    <mergeCell ref="H27:I27"/>
    <mergeCell ref="O28:Q28"/>
    <mergeCell ref="B54:P54"/>
    <mergeCell ref="H24:I24"/>
    <mergeCell ref="H18:I18"/>
    <mergeCell ref="H33:I33"/>
    <mergeCell ref="O36:Q36"/>
    <mergeCell ref="O30:Q30"/>
    <mergeCell ref="O45:Q45"/>
    <mergeCell ref="H2:H6"/>
    <mergeCell ref="O20:Q20"/>
    <mergeCell ref="H26:I26"/>
  </mergeCells>
  <conditionalFormatting sqref="F52">
    <cfRule type="cellIs" priority="8" operator="equal" dxfId="14">
      <formula>"Sí"</formula>
    </cfRule>
  </conditionalFormatting>
  <conditionalFormatting sqref="F12:G52">
    <cfRule type="cellIs" priority="1" operator="equal" dxfId="13">
      <formula>"No"</formula>
    </cfRule>
  </conditionalFormatting>
  <conditionalFormatting sqref="J12:J52">
    <cfRule type="cellIs" priority="5" operator="equal" dxfId="13">
      <formula>"No"</formula>
    </cfRule>
  </conditionalFormatting>
  <conditionalFormatting sqref="J52">
    <cfRule type="cellIs" priority="4" operator="equal" dxfId="14">
      <formula>"Sí"</formula>
    </cfRule>
  </conditionalFormatting>
  <conditionalFormatting sqref="L12:N51">
    <cfRule type="cellIs" priority="6" operator="equal" dxfId="14">
      <formula>"Sí"</formula>
    </cfRule>
    <cfRule type="cellIs" priority="7" operator="equal" dxfId="13">
      <formula>"No"</formula>
    </cfRule>
  </conditionalFormatting>
  <conditionalFormatting sqref="M52:N52">
    <cfRule type="cellIs" priority="2" operator="equal" dxfId="14">
      <formula>"Sí"</formula>
    </cfRule>
    <cfRule type="cellIs" priority="3" operator="equal" dxfId="13">
      <formula>"No"</formula>
    </cfRule>
  </conditionalFormatting>
  <dataValidations count="2">
    <dataValidation sqref="A52:K52 L6:O6 L12:L51 M52:XFD52" showDropDown="0" showInputMessage="1" showErrorMessage="1" allowBlank="1"/>
    <dataValidation sqref="L7" showDropDown="0" showInputMessage="1" showErrorMessage="1" allowBlank="1" type="date">
      <formula1>45170</formula1>
      <formula2>47664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D13" sqref="D13:D52"/>
    </sheetView>
  </sheetViews>
  <sheetFormatPr baseColWidth="10" defaultColWidth="0" defaultRowHeight="15.75" zeroHeight="1"/>
  <cols>
    <col width="4.73046875" customWidth="1" style="248" min="1" max="1"/>
    <col width="17.3984375" customWidth="1" style="248" min="2" max="2"/>
    <col width="41.59765625" customWidth="1" style="248" min="3" max="3"/>
    <col width="12.59765625" customWidth="1" style="248" min="4" max="4"/>
    <col width="3.73046875" customWidth="1" style="75" min="5" max="5"/>
    <col width="20.73046875" customWidth="1" style="248" min="6" max="6"/>
    <col width="15.86328125" customWidth="1" style="248" min="7" max="8"/>
    <col width="3.73046875" customWidth="1" style="248" min="9" max="9"/>
    <col width="24.265625" customWidth="1" style="248" min="10" max="10"/>
    <col width="15.86328125" customWidth="1" style="248" min="11" max="12"/>
    <col width="3.73046875" customWidth="1" style="248" min="13" max="13"/>
    <col width="18" customWidth="1" style="248" min="14" max="14"/>
    <col width="15.86328125" customWidth="1" style="248" min="15" max="16"/>
    <col width="12.59765625" customWidth="1" style="248" min="17" max="17"/>
    <col hidden="1" style="248" min="18" max="25"/>
    <col hidden="1" width="4.3984375" customWidth="1" style="248" min="26" max="184"/>
    <col hidden="1" style="248" min="185" max="16384"/>
  </cols>
  <sheetData>
    <row r="1" ht="15.75" customHeight="1">
      <c r="A1" s="29" t="n"/>
      <c r="B1" s="29" t="n"/>
      <c r="C1" s="29" t="n"/>
      <c r="D1" s="29" t="n"/>
      <c r="E1" s="130" t="n"/>
      <c r="F1" s="29" t="n"/>
      <c r="G1" s="29" t="n"/>
      <c r="H1" s="29" t="n"/>
      <c r="I1" s="29" t="n"/>
      <c r="J1" s="30" t="inlineStr">
        <is>
          <t>PC03.F01 Acta d'avaluació Ed.02 - Setem.25</t>
        </is>
      </c>
      <c r="K1" s="30" t="n"/>
      <c r="L1" s="30" t="n"/>
      <c r="M1" s="31" t="n"/>
      <c r="N1" s="30" t="n"/>
      <c r="O1" s="30" t="n"/>
      <c r="P1" s="30" t="n"/>
    </row>
    <row r="2" ht="15.75" customHeight="1">
      <c r="A2" s="29" t="n"/>
      <c r="B2" s="197" t="e">
        <v>#VALUE!</v>
      </c>
      <c r="D2" s="197" t="e">
        <v>#VALUE!</v>
      </c>
      <c r="H2" s="197" t="n"/>
      <c r="I2" s="197" t="n"/>
      <c r="K2" s="248" t="n"/>
    </row>
    <row r="3" ht="19.5" customHeight="1">
      <c r="A3" s="29" t="n"/>
      <c r="I3" s="197" t="n"/>
      <c r="J3" s="70" t="inlineStr">
        <is>
          <t>GRUP</t>
        </is>
      </c>
      <c r="K3" s="198">
        <f>IF(INDEX!G3 = "", "", INDEX!G3)</f>
        <v/>
      </c>
      <c r="L3" s="387" t="n"/>
      <c r="M3" s="387" t="n"/>
      <c r="N3" s="387" t="n"/>
      <c r="O3" s="200" t="n"/>
      <c r="P3" s="200" t="n"/>
    </row>
    <row r="4" ht="19.5" customHeight="1">
      <c r="A4" s="29" t="n"/>
      <c r="I4" s="197" t="n"/>
      <c r="J4" s="317" t="inlineStr">
        <is>
          <t>TUTOR/A</t>
        </is>
      </c>
      <c r="K4" s="198">
        <f>IF(INDEX!G4 = "", "", INDEX!G4)</f>
        <v/>
      </c>
      <c r="L4" s="387" t="n"/>
      <c r="M4" s="387" t="n"/>
      <c r="N4" s="387" t="n"/>
      <c r="O4" s="200" t="n"/>
      <c r="P4" s="200" t="n"/>
    </row>
    <row r="5" hidden="1" ht="20.25" customHeight="1">
      <c r="A5" s="29" t="n"/>
      <c r="I5" s="197" t="n"/>
      <c r="K5" s="199">
        <f>INDEX!F5</f>
        <v/>
      </c>
      <c r="L5" s="388" t="n"/>
      <c r="M5" s="388" t="n"/>
      <c r="N5" s="388" t="n"/>
      <c r="O5" s="200" t="n"/>
      <c r="P5" s="200" t="n"/>
    </row>
    <row r="6" ht="19.5" customHeight="1">
      <c r="A6" s="29" t="n"/>
      <c r="I6" s="197" t="n"/>
      <c r="J6" s="71" t="inlineStr">
        <is>
          <t>CURS ESCOLAR</t>
        </is>
      </c>
      <c r="K6" s="198">
        <f>INDEX!G5</f>
        <v/>
      </c>
      <c r="L6" s="387" t="n"/>
      <c r="M6" s="387" t="n"/>
      <c r="N6" s="387" t="n"/>
      <c r="O6" s="200" t="n"/>
      <c r="P6" s="200" t="n"/>
    </row>
    <row r="7" ht="19.5" customHeight="1" thickBot="1">
      <c r="A7" s="29" t="n"/>
      <c r="I7" s="197" t="n"/>
      <c r="J7" s="314" t="inlineStr">
        <is>
          <t>REUNIÓ EQUIP DOCENT</t>
        </is>
      </c>
      <c r="K7" s="199" t="inlineStr">
        <is>
          <t>Projecte Intermodular</t>
        </is>
      </c>
      <c r="L7" s="388" t="n"/>
      <c r="M7" s="388" t="n"/>
      <c r="N7" s="388" t="n"/>
      <c r="O7" s="200" t="n"/>
      <c r="P7" s="200" t="n"/>
    </row>
    <row r="8" ht="19.5" customHeight="1">
      <c r="A8" s="29" t="n"/>
      <c r="B8" s="29" t="n"/>
      <c r="C8" s="29" t="n"/>
      <c r="D8" s="197" t="n"/>
      <c r="E8" s="131" t="n"/>
      <c r="F8" s="197" t="n"/>
      <c r="G8" s="197" t="n"/>
      <c r="H8" s="197" t="n"/>
      <c r="I8" s="197" t="n"/>
      <c r="J8" s="73" t="inlineStr">
        <is>
          <t>DATA REUNIÓ</t>
        </is>
      </c>
      <c r="K8" s="249" t="n"/>
      <c r="L8" s="386" t="n"/>
      <c r="M8" s="386" t="n"/>
      <c r="N8" s="386" t="n"/>
      <c r="O8" s="132" t="n"/>
      <c r="P8" s="132" t="n"/>
    </row>
    <row r="9" ht="15" customHeight="1"/>
    <row r="10" ht="30" customFormat="1" customHeight="1" s="37">
      <c r="B10" s="133" t="inlineStr">
        <is>
          <t>1- Informació sobre el Projecte Intermodular</t>
        </is>
      </c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5" t="n"/>
      <c r="Q10" s="136" t="n"/>
    </row>
    <row r="11" ht="15" customHeight="1">
      <c r="F11" s="137" t="n">
        <v>0.5</v>
      </c>
      <c r="J11" s="137" t="n">
        <v>0.5</v>
      </c>
    </row>
    <row r="12" ht="32.25" customFormat="1" customHeight="1" s="188">
      <c r="B12" s="138" t="inlineStr">
        <is>
          <t>NIA</t>
        </is>
      </c>
      <c r="C12" s="326" t="inlineStr">
        <is>
          <t>Alumne/a</t>
        </is>
      </c>
      <c r="D12" s="327" t="inlineStr">
        <is>
          <t>Estat 3rT</t>
        </is>
      </c>
      <c r="E12" s="140" t="n"/>
      <c r="F12" s="138" t="inlineStr">
        <is>
          <t>Nota PI 1r curs</t>
        </is>
      </c>
      <c r="G12" s="327" t="inlineStr">
        <is>
          <t>Observacions</t>
        </is>
      </c>
      <c r="H12" s="424" t="n"/>
      <c r="I12" s="141" t="n"/>
      <c r="J12" s="142" t="inlineStr">
        <is>
          <t>Nota PI 2n curs</t>
        </is>
      </c>
      <c r="K12" s="329" t="inlineStr">
        <is>
          <t>Observacions</t>
        </is>
      </c>
      <c r="L12" s="427" t="n"/>
      <c r="M12" s="141" t="n"/>
      <c r="N12" s="142" t="inlineStr">
        <is>
          <t>Nota PI 2n curs</t>
        </is>
      </c>
      <c r="O12" s="329" t="inlineStr">
        <is>
          <t>Observacions</t>
        </is>
      </c>
      <c r="P12" s="427" t="n"/>
      <c r="Q12" s="143" t="n"/>
    </row>
    <row r="13" ht="33" customHeight="1">
      <c r="A13" s="188" t="n">
        <v>1</v>
      </c>
      <c r="B13" s="144">
        <f>IF('0 AVAL'!B36 = "", "", '0 AVAL'!B36)</f>
        <v/>
      </c>
      <c r="C13" s="144">
        <f>IF('0 AVAL'!C36 = "", "", '0 AVAL'!C36)</f>
        <v/>
      </c>
      <c r="D13" s="144" t="n"/>
      <c r="E13" s="131" t="n"/>
      <c r="F13" s="146" t="n"/>
      <c r="G13" s="331" t="n"/>
      <c r="H13" s="428" t="n"/>
      <c r="I13" s="147" t="n"/>
      <c r="J13" s="311" t="n"/>
      <c r="K13" s="313" t="n"/>
      <c r="L13" s="424" t="n"/>
      <c r="M13" s="147" t="n"/>
      <c r="N13" s="148" t="inlineStr">
        <is>
          <t>-</t>
        </is>
      </c>
      <c r="O13" s="313" t="n"/>
      <c r="P13" s="424" t="n"/>
      <c r="Q13" s="149" t="n"/>
    </row>
    <row r="14" ht="33" customHeight="1">
      <c r="A14" s="188" t="n">
        <v>2</v>
      </c>
      <c r="B14" s="144">
        <f>IF('0 AVAL'!B37 = "", "", '0 AVAL'!B37)</f>
        <v/>
      </c>
      <c r="C14" s="144">
        <f>IF('0 AVAL'!C37 = "", "", '0 AVAL'!C37)</f>
        <v/>
      </c>
      <c r="D14" s="144" t="n"/>
      <c r="E14" s="131" t="n"/>
      <c r="F14" s="311" t="n"/>
      <c r="G14" s="313" t="n"/>
      <c r="H14" s="424" t="n"/>
      <c r="I14" s="147" t="n"/>
      <c r="J14" s="311" t="n"/>
      <c r="K14" s="313" t="n"/>
      <c r="L14" s="424" t="n"/>
      <c r="M14" s="147" t="n"/>
      <c r="N14" s="148" t="inlineStr">
        <is>
          <t>-</t>
        </is>
      </c>
      <c r="O14" s="313" t="n"/>
      <c r="P14" s="424" t="n"/>
      <c r="Q14" s="147" t="n"/>
    </row>
    <row r="15" ht="33" customHeight="1">
      <c r="A15" s="188" t="n">
        <v>3</v>
      </c>
      <c r="B15" s="144">
        <f>IF('0 AVAL'!B38 = "", "", '0 AVAL'!B38)</f>
        <v/>
      </c>
      <c r="C15" s="144">
        <f>IF('0 AVAL'!C38 = "", "", '0 AVAL'!C38)</f>
        <v/>
      </c>
      <c r="D15" s="144" t="n"/>
      <c r="E15" s="131" t="n"/>
      <c r="F15" s="311" t="n"/>
      <c r="G15" s="313" t="n"/>
      <c r="H15" s="424" t="n"/>
      <c r="I15" s="147" t="n"/>
      <c r="J15" s="311" t="n"/>
      <c r="K15" s="313" t="n"/>
      <c r="L15" s="424" t="n"/>
      <c r="M15" s="147" t="n"/>
      <c r="N15" s="148" t="inlineStr">
        <is>
          <t>-</t>
        </is>
      </c>
      <c r="O15" s="313" t="n"/>
      <c r="P15" s="424" t="n"/>
      <c r="Q15" s="147" t="n"/>
    </row>
    <row r="16" ht="33" customHeight="1">
      <c r="A16" s="188" t="n">
        <v>4</v>
      </c>
      <c r="B16" s="144">
        <f>IF('0 AVAL'!B39 = "", "", '0 AVAL'!B39)</f>
        <v/>
      </c>
      <c r="C16" s="144">
        <f>IF('0 AVAL'!C39 = "", "", '0 AVAL'!C39)</f>
        <v/>
      </c>
      <c r="D16" s="144" t="n"/>
      <c r="E16" s="131" t="n"/>
      <c r="F16" s="311" t="n"/>
      <c r="G16" s="313" t="n"/>
      <c r="H16" s="424" t="n"/>
      <c r="I16" s="147" t="n"/>
      <c r="J16" s="311" t="n"/>
      <c r="K16" s="313" t="n"/>
      <c r="L16" s="424" t="n"/>
      <c r="M16" s="147" t="n"/>
      <c r="N16" s="148" t="inlineStr">
        <is>
          <t>-</t>
        </is>
      </c>
      <c r="O16" s="313" t="n"/>
      <c r="P16" s="424" t="n"/>
      <c r="Q16" s="147" t="n"/>
    </row>
    <row r="17" ht="33" customHeight="1">
      <c r="A17" s="188" t="n">
        <v>5</v>
      </c>
      <c r="B17" s="144">
        <f>IF('0 AVAL'!B40 = "", "", '0 AVAL'!B40)</f>
        <v/>
      </c>
      <c r="C17" s="144">
        <f>IF('0 AVAL'!C40 = "", "", '0 AVAL'!C40)</f>
        <v/>
      </c>
      <c r="D17" s="144" t="n"/>
      <c r="E17" s="131" t="n"/>
      <c r="F17" s="311" t="n"/>
      <c r="G17" s="313" t="n"/>
      <c r="H17" s="424" t="n"/>
      <c r="I17" s="147" t="n"/>
      <c r="J17" s="311" t="n"/>
      <c r="K17" s="313" t="n"/>
      <c r="L17" s="424" t="n"/>
      <c r="M17" s="147" t="n"/>
      <c r="N17" s="148" t="inlineStr">
        <is>
          <t>-</t>
        </is>
      </c>
      <c r="O17" s="313" t="n"/>
      <c r="P17" s="424" t="n"/>
    </row>
    <row r="18" ht="33" customHeight="1">
      <c r="A18" s="188" t="n">
        <v>6</v>
      </c>
      <c r="B18" s="144">
        <f>IF('0 AVAL'!B41 = "", "", '0 AVAL'!B41)</f>
        <v/>
      </c>
      <c r="C18" s="144">
        <f>IF('0 AVAL'!C41 = "", "", '0 AVAL'!C41)</f>
        <v/>
      </c>
      <c r="D18" s="144" t="n"/>
      <c r="E18" s="131" t="n"/>
      <c r="F18" s="311" t="n"/>
      <c r="G18" s="313" t="n"/>
      <c r="H18" s="424" t="n"/>
      <c r="I18" s="147" t="n"/>
      <c r="J18" s="311" t="n"/>
      <c r="K18" s="313" t="n"/>
      <c r="L18" s="424" t="n"/>
      <c r="M18" s="147" t="n"/>
      <c r="N18" s="148" t="inlineStr">
        <is>
          <t>-</t>
        </is>
      </c>
      <c r="O18" s="313" t="n"/>
      <c r="P18" s="424" t="n"/>
    </row>
    <row r="19" ht="33" customHeight="1">
      <c r="A19" s="188" t="n">
        <v>7</v>
      </c>
      <c r="B19" s="144">
        <f>IF('0 AVAL'!B42 = "", "", '0 AVAL'!B42)</f>
        <v/>
      </c>
      <c r="C19" s="144">
        <f>IF('0 AVAL'!C42 = "", "", '0 AVAL'!C42)</f>
        <v/>
      </c>
      <c r="D19" s="144" t="n"/>
      <c r="E19" s="131" t="n"/>
      <c r="F19" s="311" t="n"/>
      <c r="G19" s="313" t="n"/>
      <c r="H19" s="424" t="n"/>
      <c r="I19" s="147" t="n"/>
      <c r="J19" s="311" t="n"/>
      <c r="K19" s="313" t="n"/>
      <c r="L19" s="424" t="n"/>
      <c r="M19" s="147" t="n"/>
      <c r="N19" s="148" t="inlineStr">
        <is>
          <t>-</t>
        </is>
      </c>
      <c r="O19" s="313" t="n"/>
      <c r="P19" s="424" t="n"/>
    </row>
    <row r="20" ht="33" customHeight="1">
      <c r="A20" s="188" t="n">
        <v>8</v>
      </c>
      <c r="B20" s="144">
        <f>IF('0 AVAL'!B43 = "", "", '0 AVAL'!B43)</f>
        <v/>
      </c>
      <c r="C20" s="144">
        <f>IF('0 AVAL'!C43 = "", "", '0 AVAL'!C43)</f>
        <v/>
      </c>
      <c r="D20" s="144" t="n"/>
      <c r="E20" s="131" t="n"/>
      <c r="F20" s="311" t="n"/>
      <c r="G20" s="313" t="n"/>
      <c r="H20" s="424" t="n"/>
      <c r="I20" s="147" t="n"/>
      <c r="J20" s="311" t="n"/>
      <c r="K20" s="313" t="n"/>
      <c r="L20" s="424" t="n"/>
      <c r="M20" s="147" t="n"/>
      <c r="N20" s="148" t="inlineStr">
        <is>
          <t>-</t>
        </is>
      </c>
      <c r="O20" s="313" t="n"/>
      <c r="P20" s="424" t="n"/>
    </row>
    <row r="21" ht="33" customHeight="1">
      <c r="A21" s="188" t="n">
        <v>9</v>
      </c>
      <c r="B21" s="144">
        <f>IF('0 AVAL'!B44 = "", "", '0 AVAL'!B44)</f>
        <v/>
      </c>
      <c r="C21" s="144">
        <f>IF('0 AVAL'!C44 = "", "", '0 AVAL'!C44)</f>
        <v/>
      </c>
      <c r="D21" s="144" t="n"/>
      <c r="E21" s="131" t="n"/>
      <c r="F21" s="311" t="n"/>
      <c r="G21" s="313" t="n"/>
      <c r="H21" s="424" t="n"/>
      <c r="I21" s="147" t="n"/>
      <c r="J21" s="311" t="n"/>
      <c r="K21" s="313" t="n"/>
      <c r="L21" s="424" t="n"/>
      <c r="M21" s="147" t="n"/>
      <c r="N21" s="148" t="inlineStr">
        <is>
          <t>-</t>
        </is>
      </c>
      <c r="O21" s="313" t="n"/>
      <c r="P21" s="424" t="n"/>
    </row>
    <row r="22" ht="33" customHeight="1">
      <c r="A22" s="188" t="n">
        <v>10</v>
      </c>
      <c r="B22" s="144">
        <f>IF('0 AVAL'!B45 = "", "", '0 AVAL'!B45)</f>
        <v/>
      </c>
      <c r="C22" s="144">
        <f>IF('0 AVAL'!C45 = "", "", '0 AVAL'!C45)</f>
        <v/>
      </c>
      <c r="D22" s="144" t="n"/>
      <c r="E22" s="131" t="n"/>
      <c r="F22" s="311" t="n"/>
      <c r="G22" s="313" t="n"/>
      <c r="H22" s="424" t="n"/>
      <c r="I22" s="147" t="n"/>
      <c r="J22" s="311" t="n"/>
      <c r="K22" s="313" t="n"/>
      <c r="L22" s="424" t="n"/>
      <c r="M22" s="147" t="n"/>
      <c r="N22" s="148" t="inlineStr">
        <is>
          <t>-</t>
        </is>
      </c>
      <c r="O22" s="313" t="n"/>
      <c r="P22" s="424" t="n"/>
    </row>
    <row r="23" ht="33" customHeight="1">
      <c r="A23" s="188" t="n">
        <v>11</v>
      </c>
      <c r="B23" s="144">
        <f>IF('0 AVAL'!B46 = "", "", '0 AVAL'!B46)</f>
        <v/>
      </c>
      <c r="C23" s="144">
        <f>IF('0 AVAL'!C46 = "", "", '0 AVAL'!C46)</f>
        <v/>
      </c>
      <c r="D23" s="144" t="n"/>
      <c r="E23" s="131" t="n"/>
      <c r="F23" s="311" t="n"/>
      <c r="G23" s="313" t="n"/>
      <c r="H23" s="424" t="n"/>
      <c r="I23" s="147" t="n"/>
      <c r="J23" s="311" t="n"/>
      <c r="K23" s="313" t="n"/>
      <c r="L23" s="424" t="n"/>
      <c r="M23" s="147" t="n"/>
      <c r="N23" s="148" t="inlineStr">
        <is>
          <t>-</t>
        </is>
      </c>
      <c r="O23" s="313" t="n"/>
      <c r="P23" s="424" t="n"/>
    </row>
    <row r="24" ht="33" customHeight="1">
      <c r="A24" s="188" t="n">
        <v>12</v>
      </c>
      <c r="B24" s="144">
        <f>IF('0 AVAL'!B47 = "", "", '0 AVAL'!B47)</f>
        <v/>
      </c>
      <c r="C24" s="144">
        <f>IF('0 AVAL'!C47 = "", "", '0 AVAL'!C47)</f>
        <v/>
      </c>
      <c r="D24" s="144" t="n"/>
      <c r="E24" s="131" t="n"/>
      <c r="F24" s="311" t="n"/>
      <c r="G24" s="313" t="n"/>
      <c r="H24" s="424" t="n"/>
      <c r="I24" s="147" t="n"/>
      <c r="J24" s="311" t="n"/>
      <c r="K24" s="313" t="n"/>
      <c r="L24" s="424" t="n"/>
      <c r="M24" s="147" t="n"/>
      <c r="N24" s="148" t="inlineStr">
        <is>
          <t>-</t>
        </is>
      </c>
      <c r="O24" s="313" t="n"/>
      <c r="P24" s="424" t="n"/>
    </row>
    <row r="25" ht="33" customHeight="1">
      <c r="A25" s="188" t="n">
        <v>13</v>
      </c>
      <c r="B25" s="144">
        <f>IF('0 AVAL'!B48 = "", "", '0 AVAL'!B48)</f>
        <v/>
      </c>
      <c r="C25" s="144">
        <f>IF('0 AVAL'!C48 = "", "", '0 AVAL'!C48)</f>
        <v/>
      </c>
      <c r="D25" s="144" t="n"/>
      <c r="E25" s="131" t="n"/>
      <c r="F25" s="311" t="n"/>
      <c r="G25" s="313" t="n"/>
      <c r="H25" s="424" t="n"/>
      <c r="I25" s="147" t="n"/>
      <c r="J25" s="311" t="n"/>
      <c r="K25" s="313" t="n"/>
      <c r="L25" s="424" t="n"/>
      <c r="M25" s="147" t="n"/>
      <c r="N25" s="148" t="inlineStr">
        <is>
          <t>-</t>
        </is>
      </c>
      <c r="O25" s="313" t="n"/>
      <c r="P25" s="424" t="n"/>
    </row>
    <row r="26" ht="33" customHeight="1">
      <c r="A26" s="188" t="n">
        <v>14</v>
      </c>
      <c r="B26" s="144">
        <f>IF('0 AVAL'!B49 = "", "", '0 AVAL'!B49)</f>
        <v/>
      </c>
      <c r="C26" s="144">
        <f>IF('0 AVAL'!C49 = "", "", '0 AVAL'!C49)</f>
        <v/>
      </c>
      <c r="D26" s="144" t="n"/>
      <c r="E26" s="131" t="n"/>
      <c r="F26" s="311" t="n"/>
      <c r="G26" s="313" t="n"/>
      <c r="H26" s="424" t="n"/>
      <c r="I26" s="147" t="n"/>
      <c r="J26" s="311" t="n"/>
      <c r="K26" s="313" t="n"/>
      <c r="L26" s="424" t="n"/>
      <c r="M26" s="147" t="n"/>
      <c r="N26" s="148" t="inlineStr">
        <is>
          <t>-</t>
        </is>
      </c>
      <c r="O26" s="313" t="n"/>
      <c r="P26" s="424" t="n"/>
    </row>
    <row r="27" ht="33" customHeight="1">
      <c r="A27" s="188" t="n">
        <v>15</v>
      </c>
      <c r="B27" s="144">
        <f>IF('0 AVAL'!B50 = "", "", '0 AVAL'!B50)</f>
        <v/>
      </c>
      <c r="C27" s="144">
        <f>IF('0 AVAL'!C50 = "", "", '0 AVAL'!C50)</f>
        <v/>
      </c>
      <c r="D27" s="144" t="n"/>
      <c r="E27" s="131" t="n"/>
      <c r="F27" s="311" t="n"/>
      <c r="G27" s="313" t="n"/>
      <c r="H27" s="424" t="n"/>
      <c r="I27" s="147" t="n"/>
      <c r="J27" s="311" t="n"/>
      <c r="K27" s="313" t="n"/>
      <c r="L27" s="424" t="n"/>
      <c r="M27" s="147" t="n"/>
      <c r="N27" s="148" t="inlineStr">
        <is>
          <t>-</t>
        </is>
      </c>
      <c r="O27" s="313" t="n"/>
      <c r="P27" s="424" t="n"/>
    </row>
    <row r="28" ht="33" customHeight="1">
      <c r="A28" s="188" t="n">
        <v>16</v>
      </c>
      <c r="B28" s="144">
        <f>IF('0 AVAL'!B51 = "", "", '0 AVAL'!B51)</f>
        <v/>
      </c>
      <c r="C28" s="144">
        <f>IF('0 AVAL'!C51 = "", "", '0 AVAL'!C51)</f>
        <v/>
      </c>
      <c r="D28" s="144" t="n"/>
      <c r="E28" s="131" t="n"/>
      <c r="F28" s="311" t="n"/>
      <c r="G28" s="313" t="n"/>
      <c r="H28" s="424" t="n"/>
      <c r="I28" s="147" t="n"/>
      <c r="J28" s="311" t="n"/>
      <c r="K28" s="313" t="n"/>
      <c r="L28" s="424" t="n"/>
      <c r="M28" s="147" t="n"/>
      <c r="N28" s="148" t="inlineStr">
        <is>
          <t>-</t>
        </is>
      </c>
      <c r="O28" s="313" t="n"/>
      <c r="P28" s="424" t="n"/>
    </row>
    <row r="29" ht="33" customHeight="1">
      <c r="A29" s="188" t="n">
        <v>17</v>
      </c>
      <c r="B29" s="144">
        <f>IF('0 AVAL'!B52 = "", "", '0 AVAL'!B52)</f>
        <v/>
      </c>
      <c r="C29" s="144">
        <f>IF('0 AVAL'!C52 = "", "", '0 AVAL'!C52)</f>
        <v/>
      </c>
      <c r="D29" s="144" t="n"/>
      <c r="E29" s="131" t="n"/>
      <c r="F29" s="311" t="n"/>
      <c r="G29" s="313" t="n"/>
      <c r="H29" s="424" t="n"/>
      <c r="I29" s="147" t="n"/>
      <c r="J29" s="311" t="n"/>
      <c r="K29" s="313" t="n"/>
      <c r="L29" s="424" t="n"/>
      <c r="M29" s="147" t="n"/>
      <c r="N29" s="148" t="inlineStr">
        <is>
          <t>-</t>
        </is>
      </c>
      <c r="O29" s="313" t="n"/>
      <c r="P29" s="424" t="n"/>
    </row>
    <row r="30" ht="33" customHeight="1">
      <c r="A30" s="188" t="n">
        <v>18</v>
      </c>
      <c r="B30" s="144">
        <f>IF('0 AVAL'!B53 = "", "", '0 AVAL'!B53)</f>
        <v/>
      </c>
      <c r="C30" s="144">
        <f>IF('0 AVAL'!C53 = "", "", '0 AVAL'!C53)</f>
        <v/>
      </c>
      <c r="D30" s="144" t="n"/>
      <c r="E30" s="131" t="n"/>
      <c r="F30" s="311" t="n"/>
      <c r="G30" s="313" t="n"/>
      <c r="H30" s="424" t="n"/>
      <c r="I30" s="147" t="n"/>
      <c r="J30" s="311" t="n"/>
      <c r="K30" s="313" t="n"/>
      <c r="L30" s="424" t="n"/>
      <c r="M30" s="147" t="n"/>
      <c r="N30" s="148" t="inlineStr">
        <is>
          <t>-</t>
        </is>
      </c>
      <c r="O30" s="313" t="n"/>
      <c r="P30" s="424" t="n"/>
    </row>
    <row r="31" ht="33" customHeight="1">
      <c r="A31" s="188" t="n">
        <v>19</v>
      </c>
      <c r="B31" s="144">
        <f>IF('0 AVAL'!B54 = "", "", '0 AVAL'!B54)</f>
        <v/>
      </c>
      <c r="C31" s="144">
        <f>IF('0 AVAL'!C54 = "", "", '0 AVAL'!C54)</f>
        <v/>
      </c>
      <c r="D31" s="144" t="n"/>
      <c r="E31" s="131" t="n"/>
      <c r="F31" s="311" t="n"/>
      <c r="G31" s="313" t="n"/>
      <c r="H31" s="424" t="n"/>
      <c r="I31" s="147" t="n"/>
      <c r="J31" s="311" t="n"/>
      <c r="K31" s="313" t="n"/>
      <c r="L31" s="424" t="n"/>
      <c r="M31" s="147" t="n"/>
      <c r="N31" s="148" t="inlineStr">
        <is>
          <t>-</t>
        </is>
      </c>
      <c r="O31" s="313" t="n"/>
      <c r="P31" s="424" t="n"/>
    </row>
    <row r="32" ht="33" customHeight="1">
      <c r="A32" s="188" t="n">
        <v>20</v>
      </c>
      <c r="B32" s="144">
        <f>IF('0 AVAL'!B55 = "", "", '0 AVAL'!B55)</f>
        <v/>
      </c>
      <c r="C32" s="144">
        <f>IF('0 AVAL'!C55 = "", "", '0 AVAL'!C55)</f>
        <v/>
      </c>
      <c r="D32" s="144" t="n"/>
      <c r="E32" s="131" t="n"/>
      <c r="F32" s="311" t="n"/>
      <c r="G32" s="313" t="n"/>
      <c r="H32" s="424" t="n"/>
      <c r="I32" s="147" t="n"/>
      <c r="J32" s="311" t="n"/>
      <c r="K32" s="313" t="n"/>
      <c r="L32" s="424" t="n"/>
      <c r="M32" s="147" t="n"/>
      <c r="N32" s="148" t="inlineStr">
        <is>
          <t>-</t>
        </is>
      </c>
      <c r="O32" s="313" t="n"/>
      <c r="P32" s="424" t="n"/>
    </row>
    <row r="33" ht="33" customHeight="1">
      <c r="A33" s="188" t="n">
        <v>21</v>
      </c>
      <c r="B33" s="144">
        <f>IF('0 AVAL'!B56 = "", "", '0 AVAL'!B56)</f>
        <v/>
      </c>
      <c r="C33" s="144">
        <f>IF('0 AVAL'!C56 = "", "", '0 AVAL'!C56)</f>
        <v/>
      </c>
      <c r="D33" s="144" t="n"/>
      <c r="E33" s="131" t="n"/>
      <c r="F33" s="311" t="n"/>
      <c r="G33" s="313" t="n"/>
      <c r="H33" s="424" t="n"/>
      <c r="I33" s="147" t="n"/>
      <c r="J33" s="311" t="n"/>
      <c r="K33" s="313" t="n"/>
      <c r="L33" s="424" t="n"/>
      <c r="M33" s="147" t="n"/>
      <c r="N33" s="148" t="inlineStr">
        <is>
          <t>-</t>
        </is>
      </c>
      <c r="O33" s="313" t="n"/>
      <c r="P33" s="424" t="n"/>
    </row>
    <row r="34" ht="33" customHeight="1">
      <c r="A34" s="188" t="n">
        <v>22</v>
      </c>
      <c r="B34" s="144">
        <f>IF('0 AVAL'!B57 = "", "", '0 AVAL'!B57)</f>
        <v/>
      </c>
      <c r="C34" s="144">
        <f>IF('0 AVAL'!C57 = "", "", '0 AVAL'!C57)</f>
        <v/>
      </c>
      <c r="D34" s="144" t="n"/>
      <c r="E34" s="131" t="n"/>
      <c r="F34" s="311" t="n"/>
      <c r="G34" s="313" t="n"/>
      <c r="H34" s="424" t="n"/>
      <c r="I34" s="147" t="n"/>
      <c r="J34" s="311" t="n"/>
      <c r="K34" s="313" t="n"/>
      <c r="L34" s="424" t="n"/>
      <c r="M34" s="147" t="n"/>
      <c r="N34" s="148" t="inlineStr">
        <is>
          <t>-</t>
        </is>
      </c>
      <c r="O34" s="313" t="n"/>
      <c r="P34" s="424" t="n"/>
    </row>
    <row r="35" ht="33" customHeight="1">
      <c r="A35" s="188" t="n">
        <v>23</v>
      </c>
      <c r="B35" s="144">
        <f>IF('0 AVAL'!B58 = "", "", '0 AVAL'!B58)</f>
        <v/>
      </c>
      <c r="C35" s="144">
        <f>IF('0 AVAL'!C58 = "", "", '0 AVAL'!C58)</f>
        <v/>
      </c>
      <c r="D35" s="144" t="n"/>
      <c r="E35" s="131" t="n"/>
      <c r="F35" s="311" t="n"/>
      <c r="G35" s="313" t="n"/>
      <c r="H35" s="424" t="n"/>
      <c r="I35" s="147" t="n"/>
      <c r="J35" s="311" t="n"/>
      <c r="K35" s="313" t="n"/>
      <c r="L35" s="424" t="n"/>
      <c r="M35" s="147" t="n"/>
      <c r="N35" s="148" t="inlineStr">
        <is>
          <t>-</t>
        </is>
      </c>
      <c r="O35" s="313" t="n"/>
      <c r="P35" s="424" t="n"/>
    </row>
    <row r="36" ht="33" customHeight="1">
      <c r="A36" s="188" t="n">
        <v>24</v>
      </c>
      <c r="B36" s="144">
        <f>IF('0 AVAL'!B59 = "", "", '0 AVAL'!B59)</f>
        <v/>
      </c>
      <c r="C36" s="144">
        <f>IF('0 AVAL'!C59 = "", "", '0 AVAL'!C59)</f>
        <v/>
      </c>
      <c r="D36" s="144" t="n"/>
      <c r="E36" s="131" t="n"/>
      <c r="F36" s="311" t="n"/>
      <c r="G36" s="313" t="n"/>
      <c r="H36" s="424" t="n"/>
      <c r="I36" s="147" t="n"/>
      <c r="J36" s="311" t="n"/>
      <c r="K36" s="313" t="n"/>
      <c r="L36" s="424" t="n"/>
      <c r="M36" s="147" t="n"/>
      <c r="N36" s="148" t="inlineStr">
        <is>
          <t>-</t>
        </is>
      </c>
      <c r="O36" s="313" t="n"/>
      <c r="P36" s="424" t="n"/>
    </row>
    <row r="37" ht="33" customHeight="1">
      <c r="A37" s="188" t="n">
        <v>25</v>
      </c>
      <c r="B37" s="144">
        <f>IF('0 AVAL'!B60 = "", "", '0 AVAL'!B60)</f>
        <v/>
      </c>
      <c r="C37" s="144">
        <f>IF('0 AVAL'!C60 = "", "", '0 AVAL'!C60)</f>
        <v/>
      </c>
      <c r="D37" s="144" t="n"/>
      <c r="E37" s="131" t="n"/>
      <c r="F37" s="311" t="n"/>
      <c r="G37" s="313" t="n"/>
      <c r="H37" s="424" t="n"/>
      <c r="I37" s="147" t="n"/>
      <c r="J37" s="311" t="n"/>
      <c r="K37" s="313" t="n"/>
      <c r="L37" s="424" t="n"/>
      <c r="M37" s="147" t="n"/>
      <c r="N37" s="148" t="inlineStr">
        <is>
          <t>-</t>
        </is>
      </c>
      <c r="O37" s="313" t="n"/>
      <c r="P37" s="424" t="n"/>
    </row>
    <row r="38" ht="33" customHeight="1">
      <c r="A38" s="188" t="n">
        <v>26</v>
      </c>
      <c r="B38" s="144">
        <f>IF('0 AVAL'!B61 = "", "", '0 AVAL'!B61)</f>
        <v/>
      </c>
      <c r="C38" s="144">
        <f>IF('0 AVAL'!C61 = "", "", '0 AVAL'!C61)</f>
        <v/>
      </c>
      <c r="D38" s="144" t="n"/>
      <c r="E38" s="131" t="n"/>
      <c r="F38" s="311" t="n"/>
      <c r="G38" s="313" t="n"/>
      <c r="H38" s="424" t="n"/>
      <c r="I38" s="147" t="n"/>
      <c r="J38" s="311" t="n"/>
      <c r="K38" s="313" t="n"/>
      <c r="L38" s="424" t="n"/>
      <c r="M38" s="147" t="n"/>
      <c r="N38" s="148" t="inlineStr">
        <is>
          <t>-</t>
        </is>
      </c>
      <c r="O38" s="313" t="n"/>
      <c r="P38" s="424" t="n"/>
    </row>
    <row r="39" ht="33" customHeight="1">
      <c r="A39" s="188" t="n">
        <v>27</v>
      </c>
      <c r="B39" s="144">
        <f>IF('0 AVAL'!B62 = "", "", '0 AVAL'!B62)</f>
        <v/>
      </c>
      <c r="C39" s="144">
        <f>IF('0 AVAL'!C62 = "", "", '0 AVAL'!C62)</f>
        <v/>
      </c>
      <c r="D39" s="144" t="n"/>
      <c r="E39" s="131" t="n"/>
      <c r="F39" s="311" t="n"/>
      <c r="G39" s="313" t="n"/>
      <c r="H39" s="424" t="n"/>
      <c r="I39" s="147" t="n"/>
      <c r="J39" s="311" t="n"/>
      <c r="K39" s="313" t="n"/>
      <c r="L39" s="424" t="n"/>
      <c r="M39" s="147" t="n"/>
      <c r="N39" s="148" t="inlineStr">
        <is>
          <t>-</t>
        </is>
      </c>
      <c r="O39" s="313" t="n"/>
      <c r="P39" s="424" t="n"/>
    </row>
    <row r="40" ht="33" customHeight="1">
      <c r="A40" s="188" t="n">
        <v>28</v>
      </c>
      <c r="B40" s="144">
        <f>IF('0 AVAL'!B63 = "", "", '0 AVAL'!B63)</f>
        <v/>
      </c>
      <c r="C40" s="144">
        <f>IF('0 AVAL'!C63 = "", "", '0 AVAL'!C63)</f>
        <v/>
      </c>
      <c r="D40" s="144" t="n"/>
      <c r="E40" s="131" t="n"/>
      <c r="F40" s="311" t="n"/>
      <c r="G40" s="313" t="n"/>
      <c r="H40" s="424" t="n"/>
      <c r="I40" s="147" t="n"/>
      <c r="J40" s="311" t="n"/>
      <c r="K40" s="313" t="n"/>
      <c r="L40" s="424" t="n"/>
      <c r="M40" s="147" t="n"/>
      <c r="N40" s="148" t="inlineStr">
        <is>
          <t>-</t>
        </is>
      </c>
      <c r="O40" s="313" t="n"/>
      <c r="P40" s="424" t="n"/>
    </row>
    <row r="41" ht="33" customHeight="1">
      <c r="A41" s="188" t="n">
        <v>29</v>
      </c>
      <c r="B41" s="144">
        <f>IF('0 AVAL'!B64 = "", "", '0 AVAL'!B64)</f>
        <v/>
      </c>
      <c r="C41" s="144">
        <f>IF('0 AVAL'!C64 = "", "", '0 AVAL'!C64)</f>
        <v/>
      </c>
      <c r="D41" s="144" t="n"/>
      <c r="E41" s="131" t="n"/>
      <c r="F41" s="311" t="n"/>
      <c r="G41" s="313" t="n"/>
      <c r="H41" s="424" t="n"/>
      <c r="I41" s="147" t="n"/>
      <c r="J41" s="311" t="n"/>
      <c r="K41" s="313" t="n"/>
      <c r="L41" s="424" t="n"/>
      <c r="M41" s="147" t="n"/>
      <c r="N41" s="148" t="inlineStr">
        <is>
          <t>-</t>
        </is>
      </c>
      <c r="O41" s="313" t="n"/>
      <c r="P41" s="424" t="n"/>
    </row>
    <row r="42" ht="33" customHeight="1">
      <c r="A42" s="188" t="n">
        <v>30</v>
      </c>
      <c r="B42" s="144">
        <f>IF('0 AVAL'!B65 = "", "", '0 AVAL'!B65)</f>
        <v/>
      </c>
      <c r="C42" s="144">
        <f>IF('0 AVAL'!C65 = "", "", '0 AVAL'!C65)</f>
        <v/>
      </c>
      <c r="D42" s="144" t="n"/>
      <c r="E42" s="131" t="n"/>
      <c r="F42" s="311" t="n"/>
      <c r="G42" s="313" t="n"/>
      <c r="H42" s="424" t="n"/>
      <c r="I42" s="147" t="n"/>
      <c r="J42" s="311" t="n"/>
      <c r="K42" s="313" t="n"/>
      <c r="L42" s="424" t="n"/>
      <c r="M42" s="147" t="n"/>
      <c r="N42" s="148" t="inlineStr">
        <is>
          <t>-</t>
        </is>
      </c>
      <c r="O42" s="313" t="n"/>
      <c r="P42" s="424" t="n"/>
    </row>
    <row r="43" ht="33" customHeight="1">
      <c r="A43" s="188" t="n">
        <v>31</v>
      </c>
      <c r="B43" s="144">
        <f>IF('0 AVAL'!B66 = "", "", '0 AVAL'!B66)</f>
        <v/>
      </c>
      <c r="C43" s="144">
        <f>IF('0 AVAL'!C66 = "", "", '0 AVAL'!C66)</f>
        <v/>
      </c>
      <c r="D43" s="144" t="n"/>
      <c r="E43" s="131" t="n"/>
      <c r="F43" s="311" t="n"/>
      <c r="G43" s="312" t="n"/>
      <c r="H43" s="313" t="n"/>
      <c r="I43" s="147" t="n"/>
      <c r="J43" s="311" t="n"/>
      <c r="K43" s="312" t="n"/>
      <c r="L43" s="313" t="n"/>
      <c r="M43" s="147" t="n"/>
      <c r="N43" s="148" t="inlineStr">
        <is>
          <t>-</t>
        </is>
      </c>
      <c r="O43" s="312" t="n"/>
      <c r="P43" s="313" t="n"/>
    </row>
    <row r="44" ht="33" customHeight="1">
      <c r="A44" s="188" t="n">
        <v>32</v>
      </c>
      <c r="B44" s="144">
        <f>IF('0 AVAL'!B67 = "", "", '0 AVAL'!B67)</f>
        <v/>
      </c>
      <c r="C44" s="144">
        <f>IF('0 AVAL'!C67 = "", "", '0 AVAL'!C67)</f>
        <v/>
      </c>
      <c r="D44" s="144" t="n"/>
      <c r="E44" s="131" t="n"/>
      <c r="F44" s="311" t="n"/>
      <c r="G44" s="312" t="n"/>
      <c r="H44" s="313" t="n"/>
      <c r="I44" s="147" t="n"/>
      <c r="J44" s="311" t="n"/>
      <c r="K44" s="312" t="n"/>
      <c r="L44" s="313" t="n"/>
      <c r="M44" s="147" t="n"/>
      <c r="N44" s="148" t="inlineStr">
        <is>
          <t>-</t>
        </is>
      </c>
      <c r="O44" s="312" t="n"/>
      <c r="P44" s="313" t="n"/>
    </row>
    <row r="45" ht="33" customHeight="1">
      <c r="A45" s="188" t="n">
        <v>33</v>
      </c>
      <c r="B45" s="144">
        <f>IF('0 AVAL'!B68 = "", "", '0 AVAL'!B68)</f>
        <v/>
      </c>
      <c r="C45" s="144">
        <f>IF('0 AVAL'!C68 = "", "", '0 AVAL'!C68)</f>
        <v/>
      </c>
      <c r="D45" s="144" t="n"/>
      <c r="E45" s="131" t="n"/>
      <c r="F45" s="311" t="n"/>
      <c r="G45" s="312" t="n"/>
      <c r="H45" s="313" t="n"/>
      <c r="I45" s="147" t="n"/>
      <c r="J45" s="311" t="n"/>
      <c r="K45" s="312" t="n"/>
      <c r="L45" s="313" t="n"/>
      <c r="M45" s="147" t="n"/>
      <c r="N45" s="148" t="inlineStr">
        <is>
          <t>-</t>
        </is>
      </c>
      <c r="O45" s="312" t="n"/>
      <c r="P45" s="313" t="n"/>
    </row>
    <row r="46" ht="33" customHeight="1">
      <c r="A46" s="188" t="n">
        <v>34</v>
      </c>
      <c r="B46" s="144">
        <f>IF('0 AVAL'!B69 = "", "", '0 AVAL'!B69)</f>
        <v/>
      </c>
      <c r="C46" s="144">
        <f>IF('0 AVAL'!C69 = "", "", '0 AVAL'!C69)</f>
        <v/>
      </c>
      <c r="D46" s="144" t="n"/>
      <c r="E46" s="131" t="n"/>
      <c r="F46" s="311" t="n"/>
      <c r="G46" s="312" t="n"/>
      <c r="H46" s="313" t="n"/>
      <c r="I46" s="147" t="n"/>
      <c r="J46" s="311" t="n"/>
      <c r="K46" s="312" t="n"/>
      <c r="L46" s="313" t="n"/>
      <c r="M46" s="147" t="n"/>
      <c r="N46" s="148" t="inlineStr">
        <is>
          <t>-</t>
        </is>
      </c>
      <c r="O46" s="312" t="n"/>
      <c r="P46" s="313" t="n"/>
    </row>
    <row r="47" ht="33" customHeight="1">
      <c r="A47" s="188" t="n">
        <v>35</v>
      </c>
      <c r="B47" s="144">
        <f>IF('0 AVAL'!B70 = "", "", '0 AVAL'!B70)</f>
        <v/>
      </c>
      <c r="C47" s="144">
        <f>IF('0 AVAL'!C70 = "", "", '0 AVAL'!C70)</f>
        <v/>
      </c>
      <c r="D47" s="144" t="n"/>
      <c r="E47" s="131" t="n"/>
      <c r="F47" s="311" t="n"/>
      <c r="G47" s="312" t="n"/>
      <c r="H47" s="313" t="n"/>
      <c r="I47" s="147" t="n"/>
      <c r="J47" s="311" t="n"/>
      <c r="K47" s="312" t="n"/>
      <c r="L47" s="313" t="n"/>
      <c r="M47" s="147" t="n"/>
      <c r="N47" s="148" t="inlineStr">
        <is>
          <t>-</t>
        </is>
      </c>
      <c r="O47" s="312" t="n"/>
      <c r="P47" s="313" t="n"/>
    </row>
    <row r="48" ht="33" customHeight="1">
      <c r="A48" s="188" t="n">
        <v>36</v>
      </c>
      <c r="B48" s="144">
        <f>IF('0 AVAL'!B71 = "", "", '0 AVAL'!B71)</f>
        <v/>
      </c>
      <c r="C48" s="144">
        <f>IF('0 AVAL'!C71 = "", "", '0 AVAL'!C71)</f>
        <v/>
      </c>
      <c r="D48" s="144" t="n"/>
      <c r="E48" s="131" t="n"/>
      <c r="F48" s="311" t="n"/>
      <c r="G48" s="313" t="n"/>
      <c r="H48" s="424" t="n"/>
      <c r="I48" s="147" t="n"/>
      <c r="J48" s="311" t="n"/>
      <c r="K48" s="313" t="n"/>
      <c r="L48" s="424" t="n"/>
      <c r="M48" s="147" t="n"/>
      <c r="N48" s="148" t="inlineStr">
        <is>
          <t>-</t>
        </is>
      </c>
      <c r="O48" s="313" t="n"/>
      <c r="P48" s="424" t="n"/>
    </row>
    <row r="49" ht="33" customHeight="1">
      <c r="A49" s="188" t="n">
        <v>37</v>
      </c>
      <c r="B49" s="144">
        <f>IF('0 AVAL'!B72 = "", "", '0 AVAL'!B72)</f>
        <v/>
      </c>
      <c r="C49" s="144">
        <f>IF('0 AVAL'!C72 = "", "", '0 AVAL'!C72)</f>
        <v/>
      </c>
      <c r="D49" s="144" t="n"/>
      <c r="E49" s="131" t="n"/>
      <c r="F49" s="311" t="n"/>
      <c r="G49" s="313" t="n"/>
      <c r="H49" s="424" t="n"/>
      <c r="I49" s="147" t="n"/>
      <c r="J49" s="311" t="n"/>
      <c r="K49" s="313" t="n"/>
      <c r="L49" s="424" t="n"/>
      <c r="M49" s="147" t="n"/>
      <c r="N49" s="148" t="inlineStr">
        <is>
          <t>-</t>
        </is>
      </c>
      <c r="O49" s="313" t="n"/>
      <c r="P49" s="424" t="n"/>
    </row>
    <row r="50" ht="33" customHeight="1">
      <c r="A50" s="188" t="n">
        <v>38</v>
      </c>
      <c r="B50" s="144">
        <f>IF('0 AVAL'!B73 = "", "", '0 AVAL'!B73)</f>
        <v/>
      </c>
      <c r="C50" s="144">
        <f>IF('0 AVAL'!C73 = "", "", '0 AVAL'!C73)</f>
        <v/>
      </c>
      <c r="D50" s="144" t="n"/>
      <c r="E50" s="131" t="n"/>
      <c r="F50" s="311" t="n"/>
      <c r="G50" s="313" t="n"/>
      <c r="H50" s="424" t="n"/>
      <c r="I50" s="147" t="n"/>
      <c r="J50" s="311" t="n"/>
      <c r="K50" s="313" t="n"/>
      <c r="L50" s="424" t="n"/>
      <c r="M50" s="147" t="n"/>
      <c r="N50" s="148" t="inlineStr">
        <is>
          <t>-</t>
        </is>
      </c>
      <c r="O50" s="313" t="n"/>
      <c r="P50" s="424" t="n"/>
    </row>
    <row r="51" ht="40.5" customHeight="1">
      <c r="A51" s="188" t="n">
        <v>39</v>
      </c>
      <c r="B51" s="144">
        <f>IF('0 AVAL'!B74 = "", "", '0 AVAL'!B74)</f>
        <v/>
      </c>
      <c r="C51" s="144">
        <f>IF('0 AVAL'!C74 = "", "", '0 AVAL'!C74)</f>
        <v/>
      </c>
      <c r="D51" s="144" t="n"/>
      <c r="E51" s="131" t="n"/>
      <c r="F51" s="311" t="n"/>
      <c r="G51" s="313" t="n"/>
      <c r="H51" s="424" t="n"/>
      <c r="I51" s="147" t="n"/>
      <c r="J51" s="311" t="n"/>
      <c r="K51" s="313" t="n"/>
      <c r="L51" s="424" t="n"/>
      <c r="M51" s="147" t="n"/>
      <c r="N51" s="148" t="inlineStr">
        <is>
          <t>-</t>
        </is>
      </c>
      <c r="O51" s="313" t="n"/>
      <c r="P51" s="424" t="n"/>
    </row>
    <row r="52" ht="40.5" customHeight="1" thickBot="1">
      <c r="A52" s="188" t="n">
        <v>40</v>
      </c>
      <c r="B52" s="144">
        <f>IF('0 AVAL'!B75 = "", "", '0 AVAL'!B75)</f>
        <v/>
      </c>
      <c r="C52" s="144">
        <f>IF('0 AVAL'!C75 = "", "", '0 AVAL'!C75)</f>
        <v/>
      </c>
      <c r="D52" s="144" t="n"/>
      <c r="E52" s="131" t="n"/>
      <c r="F52" s="322" t="n"/>
      <c r="G52" s="324" t="n"/>
      <c r="H52" s="425" t="n"/>
      <c r="I52" s="147" t="n"/>
      <c r="J52" s="322" t="n"/>
      <c r="K52" s="324" t="n"/>
      <c r="L52" s="425" t="n"/>
      <c r="M52" s="147" t="n"/>
      <c r="N52" s="150" t="inlineStr">
        <is>
          <t>-</t>
        </is>
      </c>
      <c r="O52" s="324" t="n"/>
      <c r="P52" s="425" t="n"/>
    </row>
    <row r="53" ht="27" customHeight="1"/>
    <row r="54" ht="40.5" customHeight="1">
      <c r="B54" s="268" t="inlineStr">
        <is>
          <t>2- Acords adoptats de caràcter col·legiat per l'equip docent</t>
        </is>
      </c>
      <c r="C54" s="392" t="n"/>
      <c r="D54" s="392" t="n"/>
      <c r="E54" s="392" t="n"/>
      <c r="F54" s="392" t="n"/>
      <c r="G54" s="392" t="n"/>
      <c r="H54" s="392" t="n"/>
      <c r="I54" s="392" t="n"/>
      <c r="J54" s="392" t="n"/>
      <c r="K54" s="392" t="n"/>
      <c r="L54" s="392" t="n"/>
      <c r="M54" s="392" t="n"/>
      <c r="N54" s="392" t="n"/>
      <c r="O54" s="392" t="n"/>
      <c r="P54" s="392" t="n"/>
    </row>
    <row r="55" ht="30.75" customFormat="1" customHeight="1" s="29">
      <c r="A55" s="129" t="n">
        <v>1</v>
      </c>
      <c r="B55" s="325" t="n"/>
      <c r="C55" s="394" t="n"/>
      <c r="D55" s="394" t="n"/>
      <c r="E55" s="394" t="n"/>
      <c r="F55" s="394" t="n"/>
      <c r="G55" s="394" t="n"/>
      <c r="H55" s="394" t="n"/>
      <c r="I55" s="394" t="n"/>
      <c r="J55" s="394" t="n"/>
      <c r="K55" s="429" t="inlineStr">
        <is>
          <t xml:space="preserve">Acta elaborada per: XXXXX. XX:XXh </t>
        </is>
      </c>
      <c r="L55" s="430" t="n"/>
      <c r="M55" s="430" t="n"/>
      <c r="N55" s="430" t="n"/>
      <c r="O55" s="430" t="n"/>
      <c r="P55" s="431" t="n"/>
    </row>
    <row r="56" ht="30.75" customFormat="1" customHeight="1" s="29">
      <c r="A56" s="129" t="n">
        <v>2</v>
      </c>
      <c r="B56" s="325" t="n"/>
      <c r="C56" s="394" t="n"/>
      <c r="D56" s="394" t="n"/>
      <c r="E56" s="394" t="n"/>
      <c r="F56" s="394" t="n"/>
      <c r="G56" s="394" t="n"/>
      <c r="H56" s="394" t="n"/>
      <c r="I56" s="394" t="n"/>
      <c r="J56" s="394" t="n"/>
      <c r="K56" s="400" t="n"/>
      <c r="P56" s="401" t="n"/>
    </row>
    <row r="57" ht="30.75" customFormat="1" customHeight="1" s="29">
      <c r="A57" s="129" t="n">
        <v>3</v>
      </c>
      <c r="B57" s="325" t="n"/>
      <c r="C57" s="394" t="n"/>
      <c r="D57" s="394" t="n"/>
      <c r="E57" s="394" t="n"/>
      <c r="F57" s="394" t="n"/>
      <c r="G57" s="394" t="n"/>
      <c r="H57" s="394" t="n"/>
      <c r="I57" s="394" t="n"/>
      <c r="J57" s="394" t="n"/>
      <c r="K57" s="400" t="n"/>
      <c r="P57" s="401" t="n"/>
    </row>
    <row r="58" ht="30.75" customFormat="1" customHeight="1" s="29">
      <c r="A58" s="129" t="n">
        <v>4</v>
      </c>
      <c r="B58" s="325" t="n"/>
      <c r="C58" s="394" t="n"/>
      <c r="D58" s="394" t="n"/>
      <c r="E58" s="394" t="n"/>
      <c r="F58" s="394" t="n"/>
      <c r="G58" s="394" t="n"/>
      <c r="H58" s="394" t="n"/>
      <c r="I58" s="394" t="n"/>
      <c r="J58" s="394" t="n"/>
      <c r="K58" s="400" t="n"/>
      <c r="P58" s="401" t="n"/>
    </row>
    <row r="59" ht="30.75" customFormat="1" customHeight="1" s="29">
      <c r="A59" s="129" t="n">
        <v>5</v>
      </c>
      <c r="B59" s="325" t="n"/>
      <c r="C59" s="394" t="n"/>
      <c r="D59" s="394" t="n"/>
      <c r="E59" s="394" t="n"/>
      <c r="F59" s="394" t="n"/>
      <c r="G59" s="394" t="n"/>
      <c r="H59" s="394" t="n"/>
      <c r="I59" s="394" t="n"/>
      <c r="J59" s="394" t="n"/>
      <c r="K59" s="400" t="n"/>
      <c r="P59" s="401" t="n"/>
    </row>
    <row r="60" ht="30.75" customFormat="1" customHeight="1" s="29">
      <c r="A60" s="129" t="n">
        <v>6</v>
      </c>
      <c r="B60" s="325" t="n"/>
      <c r="C60" s="394" t="n"/>
      <c r="D60" s="394" t="n"/>
      <c r="E60" s="394" t="n"/>
      <c r="F60" s="394" t="n"/>
      <c r="G60" s="394" t="n"/>
      <c r="H60" s="394" t="n"/>
      <c r="I60" s="394" t="n"/>
      <c r="J60" s="394" t="n"/>
      <c r="K60" s="400" t="n"/>
      <c r="P60" s="401" t="n"/>
    </row>
    <row r="61" ht="30.75" customFormat="1" customHeight="1" s="29" thickBot="1">
      <c r="A61" s="129" t="n">
        <v>7</v>
      </c>
      <c r="B61" s="319" t="n"/>
      <c r="C61" s="403" t="n"/>
      <c r="D61" s="403" t="n"/>
      <c r="E61" s="403" t="n"/>
      <c r="F61" s="403" t="n"/>
      <c r="G61" s="403" t="n"/>
      <c r="H61" s="403" t="n"/>
      <c r="I61" s="403" t="n"/>
      <c r="J61" s="403" t="n"/>
      <c r="K61" s="432" t="n"/>
      <c r="L61" s="389" t="n"/>
      <c r="M61" s="389" t="n"/>
      <c r="N61" s="389" t="n"/>
      <c r="O61" s="389" t="n"/>
      <c r="P61" s="433" t="n"/>
    </row>
    <row r="62" ht="36.75" customHeight="1">
      <c r="B62" s="320" t="inlineStr">
        <is>
          <t>En aquest document s'està realitzant un tractament de dades de l'alumnat que està regulat per la normativa vigent en matèria de Protecció de Dades de Caràcter Personal (LOPD 3/2018 i Resolució Conselleria
Educació, Investigació, Cultura i Esport del 28/6/2018). Recorda que les dades han de ser tractats de manera responsable i que has de guardar secret professional i no cedir o divulgar les dades ací contingudes.</t>
        </is>
      </c>
      <c r="O62" s="151" t="n"/>
      <c r="P62" s="151" t="n"/>
    </row>
  </sheetData>
  <mergeCells count="128">
    <mergeCell ref="G21:H21"/>
    <mergeCell ref="K49:L49"/>
    <mergeCell ref="B61:J61"/>
    <mergeCell ref="K24:L24"/>
    <mergeCell ref="K33:L33"/>
    <mergeCell ref="O15:P15"/>
    <mergeCell ref="G23:H23"/>
    <mergeCell ref="K7:N7"/>
    <mergeCell ref="K26:L26"/>
    <mergeCell ref="K35:L35"/>
    <mergeCell ref="K4:N4"/>
    <mergeCell ref="K50:L50"/>
    <mergeCell ref="O32:P32"/>
    <mergeCell ref="O26:P26"/>
    <mergeCell ref="O41:P41"/>
    <mergeCell ref="D2:G7"/>
    <mergeCell ref="G18:H18"/>
    <mergeCell ref="O35:P35"/>
    <mergeCell ref="B55:J55"/>
    <mergeCell ref="H2:H7"/>
    <mergeCell ref="K52:L52"/>
    <mergeCell ref="G34:H34"/>
    <mergeCell ref="O16:P16"/>
    <mergeCell ref="O25:P25"/>
    <mergeCell ref="K42:L42"/>
    <mergeCell ref="O40:P40"/>
    <mergeCell ref="O27:P27"/>
    <mergeCell ref="G20:H20"/>
    <mergeCell ref="O17:P17"/>
    <mergeCell ref="K28:L28"/>
    <mergeCell ref="K37:L37"/>
    <mergeCell ref="G22:H22"/>
    <mergeCell ref="K13:L13"/>
    <mergeCell ref="K55:P61"/>
    <mergeCell ref="K30:L30"/>
    <mergeCell ref="G12:H12"/>
    <mergeCell ref="K15:L15"/>
    <mergeCell ref="G48:H48"/>
    <mergeCell ref="K21:L21"/>
    <mergeCell ref="K51:L51"/>
    <mergeCell ref="O29:P29"/>
    <mergeCell ref="G38:H38"/>
    <mergeCell ref="K32:L32"/>
    <mergeCell ref="K41:L41"/>
    <mergeCell ref="O31:P31"/>
    <mergeCell ref="G49:H49"/>
    <mergeCell ref="G24:H24"/>
    <mergeCell ref="O21:P21"/>
    <mergeCell ref="G33:H33"/>
    <mergeCell ref="O51:P51"/>
    <mergeCell ref="K27:L27"/>
    <mergeCell ref="O37:P37"/>
    <mergeCell ref="G26:H26"/>
    <mergeCell ref="K17:L17"/>
    <mergeCell ref="G35:H35"/>
    <mergeCell ref="G16:H16"/>
    <mergeCell ref="G25:H25"/>
    <mergeCell ref="B56:J56"/>
    <mergeCell ref="K19:L19"/>
    <mergeCell ref="B58:J58"/>
    <mergeCell ref="K16:L16"/>
    <mergeCell ref="K25:L25"/>
    <mergeCell ref="O19:P19"/>
    <mergeCell ref="O34:P34"/>
    <mergeCell ref="B60:J60"/>
    <mergeCell ref="G42:H42"/>
    <mergeCell ref="O28:P28"/>
    <mergeCell ref="B57:J57"/>
    <mergeCell ref="O39:P39"/>
    <mergeCell ref="G39:H39"/>
    <mergeCell ref="O36:P36"/>
    <mergeCell ref="O30:P30"/>
    <mergeCell ref="K29:L29"/>
    <mergeCell ref="K6:N6"/>
    <mergeCell ref="K3:N3"/>
    <mergeCell ref="O20:P20"/>
    <mergeCell ref="G37:H37"/>
    <mergeCell ref="K31:L31"/>
    <mergeCell ref="G13:H13"/>
    <mergeCell ref="K40:L40"/>
    <mergeCell ref="K5:N5"/>
    <mergeCell ref="O22:P22"/>
    <mergeCell ref="G15:H15"/>
    <mergeCell ref="K23:L23"/>
    <mergeCell ref="G51:H51"/>
    <mergeCell ref="O48:P48"/>
    <mergeCell ref="B59:J59"/>
    <mergeCell ref="G32:H32"/>
    <mergeCell ref="O23:P23"/>
    <mergeCell ref="G41:H41"/>
    <mergeCell ref="O38:P38"/>
    <mergeCell ref="G50:H50"/>
    <mergeCell ref="K8:N8"/>
    <mergeCell ref="K18:L18"/>
    <mergeCell ref="B2:C7"/>
    <mergeCell ref="K34:L34"/>
    <mergeCell ref="G52:H52"/>
    <mergeCell ref="G27:H27"/>
    <mergeCell ref="O24:P24"/>
    <mergeCell ref="O18:P18"/>
    <mergeCell ref="G36:H36"/>
    <mergeCell ref="O33:P33"/>
    <mergeCell ref="K36:L36"/>
    <mergeCell ref="G17:H17"/>
    <mergeCell ref="K20:L20"/>
    <mergeCell ref="O49:P49"/>
    <mergeCell ref="G19:H19"/>
    <mergeCell ref="B62:N62"/>
    <mergeCell ref="G28:H28"/>
    <mergeCell ref="K22:L22"/>
    <mergeCell ref="K12:L12"/>
    <mergeCell ref="G30:H30"/>
    <mergeCell ref="O50:P50"/>
    <mergeCell ref="O42:P42"/>
    <mergeCell ref="G14:H14"/>
    <mergeCell ref="K39:L39"/>
    <mergeCell ref="K14:L14"/>
    <mergeCell ref="K48:L48"/>
    <mergeCell ref="O12:P12"/>
    <mergeCell ref="O52:P52"/>
    <mergeCell ref="G29:H29"/>
    <mergeCell ref="B54:P54"/>
    <mergeCell ref="K38:L38"/>
    <mergeCell ref="O14:P14"/>
    <mergeCell ref="G31:H31"/>
    <mergeCell ref="G40:H40"/>
    <mergeCell ref="K2:Q2"/>
    <mergeCell ref="O13:P13"/>
  </mergeCells>
  <conditionalFormatting sqref="F13:F52">
    <cfRule type="cellIs" priority="5" operator="equal" dxfId="14">
      <formula>"Sí"</formula>
    </cfRule>
  </conditionalFormatting>
  <conditionalFormatting sqref="F13:G52">
    <cfRule type="cellIs" priority="6" operator="equal" dxfId="13">
      <formula>"No"</formula>
    </cfRule>
  </conditionalFormatting>
  <conditionalFormatting sqref="J13:J52">
    <cfRule type="cellIs" priority="3" operator="equal" dxfId="14">
      <formula>"Sí"</formula>
    </cfRule>
  </conditionalFormatting>
  <conditionalFormatting sqref="J13:K52">
    <cfRule type="cellIs" priority="4" operator="equal" dxfId="13">
      <formula>"No"</formula>
    </cfRule>
  </conditionalFormatting>
  <conditionalFormatting sqref="N13:N52">
    <cfRule type="cellIs" priority="2" operator="equal" dxfId="14">
      <formula>"Sí"</formula>
    </cfRule>
  </conditionalFormatting>
  <conditionalFormatting sqref="N13:O52">
    <cfRule type="cellIs" priority="1" operator="equal" dxfId="13">
      <formula>"No"</formula>
    </cfRule>
  </conditionalFormatting>
  <dataValidations count="2">
    <dataValidation sqref="K7:N7" showDropDown="0" showInputMessage="1" showErrorMessage="1" allowBlank="1"/>
    <dataValidation sqref="K8:P8" showDropDown="0" showInputMessage="1" showErrorMessage="1" allowBlank="1" type="date">
      <formula1>45170</formula1>
      <formula2>47664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N99"/>
  <sheetViews>
    <sheetView topLeftCell="I19" workbookViewId="0">
      <selection activeCell="M33" sqref="M33:N33"/>
    </sheetView>
  </sheetViews>
  <sheetFormatPr baseColWidth="10" defaultColWidth="0" defaultRowHeight="15.75" zeroHeight="1"/>
  <cols>
    <col width="3.265625" customWidth="1" style="248" min="1" max="1"/>
    <col width="21.73046875" customWidth="1" style="248" min="2" max="2"/>
    <col width="28.265625" customWidth="1" style="248" min="3" max="3"/>
    <col width="12.59765625" customWidth="1" style="248" min="4" max="5"/>
    <col width="10.1328125" customWidth="1" style="248" min="6" max="7"/>
    <col width="14.1328125" customWidth="1" style="248" min="8" max="8"/>
    <col width="16.73046875" customWidth="1" style="248" min="9" max="9"/>
    <col width="18" customWidth="1" style="248" min="10" max="10"/>
    <col width="15.86328125" customWidth="1" style="248" min="11" max="11"/>
    <col width="12.59765625" customWidth="1" style="248" min="12" max="14"/>
    <col hidden="1" style="248" min="15" max="22"/>
    <col hidden="1" width="4.3984375" customWidth="1" style="248" min="23" max="181"/>
    <col hidden="1" style="248" min="182" max="16382"/>
    <col width="3.1328125" customWidth="1" style="248" min="16383" max="16383"/>
    <col width="7.73046875" customWidth="1" style="248" min="16384" max="16384"/>
  </cols>
  <sheetData>
    <row r="1" ht="15.75" customHeight="1">
      <c r="B1" s="29" t="n"/>
      <c r="C1" s="29" t="n"/>
      <c r="D1" s="29" t="n"/>
      <c r="E1" s="29" t="n"/>
      <c r="F1" s="29" t="n"/>
      <c r="G1" s="29" t="n"/>
      <c r="H1" s="29" t="n"/>
      <c r="I1" s="30" t="inlineStr">
        <is>
          <t>PC03.F01 Acta d'avaluació Ed.02 - Setem.25</t>
        </is>
      </c>
      <c r="J1" s="30" t="n"/>
      <c r="K1" s="30" t="n"/>
      <c r="L1" s="31" t="n"/>
      <c r="M1" s="30" t="n"/>
    </row>
    <row r="2" ht="15.75" customHeight="1">
      <c r="B2" s="197" t="e">
        <v>#VALUE!</v>
      </c>
      <c r="D2" s="197" t="e">
        <v>#VALUE!</v>
      </c>
      <c r="G2" s="197" t="n"/>
      <c r="H2" s="197" t="n"/>
      <c r="J2" s="248" t="n"/>
    </row>
    <row r="3" ht="15.75" customHeight="1">
      <c r="H3" s="197" t="n"/>
      <c r="I3" s="70" t="inlineStr">
        <is>
          <t>GRUP</t>
        </is>
      </c>
      <c r="J3" s="198">
        <f>IF(INDEX!G3 = "", "", INDEX!G3)</f>
        <v/>
      </c>
      <c r="K3" s="387" t="n"/>
      <c r="L3" s="387" t="n"/>
      <c r="M3" s="387" t="n"/>
    </row>
    <row r="4" ht="15.75" customHeight="1">
      <c r="H4" s="197" t="n"/>
      <c r="I4" s="317" t="inlineStr">
        <is>
          <t>TUTOR/A</t>
        </is>
      </c>
      <c r="J4" s="198">
        <f>IF(INDEX!G4 = "", "", INDEX!G4)</f>
        <v/>
      </c>
      <c r="K4" s="387" t="n"/>
      <c r="L4" s="387" t="n"/>
      <c r="M4" s="387" t="n"/>
    </row>
    <row r="5" ht="15.75" customHeight="1">
      <c r="H5" s="197" t="n"/>
      <c r="I5" s="71" t="inlineStr">
        <is>
          <t>CURS ESCOLAR</t>
        </is>
      </c>
      <c r="J5" s="198">
        <f>INDEX!G5</f>
        <v/>
      </c>
      <c r="K5" s="387" t="n"/>
      <c r="L5" s="387" t="n"/>
      <c r="M5" s="387" t="n"/>
    </row>
    <row r="6" ht="15.75" customHeight="1" thickBot="1">
      <c r="H6" s="197" t="n"/>
      <c r="I6" s="314" t="inlineStr">
        <is>
          <t>AVALUACIÓ</t>
        </is>
      </c>
      <c r="J6" s="199" t="inlineStr">
        <is>
          <t>Avaluació final</t>
        </is>
      </c>
      <c r="K6" s="388" t="n"/>
      <c r="L6" s="388" t="n"/>
      <c r="M6" s="388" t="n"/>
    </row>
    <row r="7">
      <c r="B7" s="29" t="n"/>
      <c r="C7" s="29" t="n"/>
      <c r="D7" s="197" t="n"/>
      <c r="E7" s="197" t="n"/>
      <c r="F7" s="197" t="n"/>
      <c r="G7" s="197" t="n"/>
      <c r="H7" s="197" t="n"/>
      <c r="I7" s="248" t="inlineStr">
        <is>
          <t>DATA REUNIÓ</t>
        </is>
      </c>
      <c r="J7" s="249" t="n"/>
      <c r="K7" s="386" t="n"/>
      <c r="L7" s="386" t="n"/>
      <c r="M7" s="386" t="n"/>
    </row>
    <row r="9" ht="21" customFormat="1" customHeight="1" s="37">
      <c r="B9" s="196" t="inlineStr">
        <is>
          <t>1- Informe sobre els aspectes generals del grup</t>
        </is>
      </c>
    </row>
    <row r="11" ht="15.6" customHeight="1">
      <c r="B11" s="250" t="inlineStr">
        <is>
          <t>Valoració de l'assistència i puntualitat a classe. Gestió del temps i compromís amb l'aprenentatge.</t>
        </is>
      </c>
    </row>
    <row r="12" ht="56.25" customHeight="1">
      <c r="B12" s="405" t="n"/>
      <c r="C12" s="387" t="n"/>
      <c r="D12" s="387" t="n"/>
      <c r="E12" s="387" t="n"/>
      <c r="F12" s="387" t="n"/>
      <c r="G12" s="387" t="n"/>
      <c r="H12" s="387" t="n"/>
      <c r="I12" s="387" t="n"/>
      <c r="J12" s="387" t="n"/>
      <c r="K12" s="387" t="n"/>
      <c r="L12" s="387" t="n"/>
      <c r="M12" s="406" t="n"/>
      <c r="N12" s="248" t="inlineStr">
        <is>
          <t>-</t>
        </is>
      </c>
    </row>
    <row r="13" ht="27" customHeight="1"/>
    <row r="14">
      <c r="B14" s="339" t="inlineStr">
        <is>
          <t>Valoració de les competències actitudinals i hàbits de treball.</t>
        </is>
      </c>
      <c r="C14" s="394" t="n"/>
      <c r="D14" s="394" t="n"/>
      <c r="E14" s="394" t="n"/>
      <c r="F14" s="394" t="n"/>
      <c r="G14" s="394" t="n"/>
      <c r="H14" s="394" t="n"/>
      <c r="I14" s="394" t="n"/>
      <c r="J14" s="394" t="n"/>
      <c r="K14" s="394" t="n"/>
      <c r="L14" s="394" t="n"/>
      <c r="M14" s="394" t="n"/>
    </row>
    <row r="15" ht="56.25" customHeight="1">
      <c r="B15" s="405" t="n"/>
      <c r="C15" s="387" t="n"/>
      <c r="D15" s="387" t="n"/>
      <c r="E15" s="387" t="n"/>
      <c r="F15" s="387" t="n"/>
      <c r="G15" s="387" t="n"/>
      <c r="H15" s="387" t="n"/>
      <c r="I15" s="387" t="n"/>
      <c r="J15" s="387" t="n"/>
      <c r="K15" s="387" t="n"/>
      <c r="L15" s="387" t="n"/>
      <c r="M15" s="406" t="n"/>
    </row>
    <row r="16" ht="27" customHeight="1"/>
    <row r="17">
      <c r="B17" s="339" t="inlineStr">
        <is>
          <t>Valoració de l'ambient de la classe, interacció entre l'alumnat: convivència, participació i la col·laboració.</t>
        </is>
      </c>
      <c r="C17" s="394" t="n"/>
      <c r="D17" s="394" t="n"/>
      <c r="E17" s="394" t="n"/>
      <c r="F17" s="394" t="n"/>
      <c r="G17" s="394" t="n"/>
      <c r="H17" s="394" t="n"/>
      <c r="I17" s="394" t="n"/>
      <c r="J17" s="394" t="n"/>
      <c r="K17" s="394" t="n"/>
      <c r="L17" s="394" t="n"/>
      <c r="M17" s="394" t="n"/>
    </row>
    <row r="18" ht="56.25" customHeight="1">
      <c r="B18" s="405" t="n"/>
      <c r="C18" s="387" t="n"/>
      <c r="D18" s="387" t="n"/>
      <c r="E18" s="387" t="n"/>
      <c r="F18" s="387" t="n"/>
      <c r="G18" s="387" t="n"/>
      <c r="H18" s="387" t="n"/>
      <c r="I18" s="387" t="n"/>
      <c r="J18" s="387" t="n"/>
      <c r="K18" s="387" t="n"/>
      <c r="L18" s="387" t="n"/>
      <c r="M18" s="406" t="n"/>
    </row>
    <row r="19" ht="27" customHeight="1"/>
    <row r="20" ht="21" customFormat="1" customHeight="1" s="37">
      <c r="B20" s="196" t="inlineStr">
        <is>
          <t>2- Informació traslladada per l'alumnat</t>
        </is>
      </c>
    </row>
    <row r="21">
      <c r="B21" s="248" t="inlineStr">
        <is>
          <t>Identificació de mòduls i resultats d'aprenentatge amb majors dificultats. Falta de desenvolupament de determinades competències.</t>
        </is>
      </c>
    </row>
    <row r="22" ht="56.25" customHeight="1">
      <c r="B22" s="405" t="n"/>
      <c r="C22" s="387" t="n"/>
      <c r="D22" s="387" t="n"/>
      <c r="E22" s="387" t="n"/>
      <c r="F22" s="387" t="n"/>
      <c r="G22" s="387" t="n"/>
      <c r="H22" s="387" t="n"/>
      <c r="I22" s="387" t="n"/>
      <c r="J22" s="387" t="n"/>
      <c r="K22" s="387" t="n"/>
      <c r="L22" s="387" t="n"/>
      <c r="M22" s="406" t="n"/>
    </row>
    <row r="23" ht="27" customHeight="1"/>
    <row r="24" ht="21" customFormat="1" customHeight="1" s="37">
      <c r="B24" s="196" t="inlineStr">
        <is>
          <t>3- Estadístiques</t>
        </is>
      </c>
    </row>
    <row r="25">
      <c r="B25" s="74" t="inlineStr">
        <is>
          <t>Inclou el valor (número) en les cel·les ombrejades en roig</t>
        </is>
      </c>
      <c r="L25" s="75" t="n"/>
      <c r="M25" s="75" t="n"/>
      <c r="N25" s="75" t="n"/>
    </row>
    <row r="26" ht="21" customHeight="1">
      <c r="D26" s="152" t="inlineStr">
        <is>
          <t>Núm. alu</t>
        </is>
      </c>
      <c r="F26" s="153" t="n"/>
      <c r="L26" s="152" t="inlineStr">
        <is>
          <t>Núm. alu</t>
        </is>
      </c>
      <c r="M26" s="152" t="inlineStr">
        <is>
          <t>% sobre total</t>
        </is>
      </c>
      <c r="N26" s="152" t="inlineStr">
        <is>
          <t>Sobre avaluats</t>
        </is>
      </c>
    </row>
    <row r="27" ht="21" customHeight="1">
      <c r="C27" s="94" t="inlineStr">
        <is>
          <t>Núm. alumnat total grup</t>
        </is>
      </c>
      <c r="D27" s="54">
        <f>COUNTIFS($C$39:$C$78,"&lt;&gt;",$D$39:$D$78,"&lt;&gt;Baixa")-COUNTBLANK($C$39:$C$78)</f>
        <v/>
      </c>
      <c r="E27" s="78" t="inlineStr">
        <is>
          <t>% sobre total</t>
        </is>
      </c>
      <c r="G27" s="340" t="inlineStr">
        <is>
          <t>Núm. alumnat amb tot aprovat</t>
        </is>
      </c>
      <c r="L27" s="80" t="n">
        <v>0</v>
      </c>
      <c r="M27" s="79">
        <f>IFERROR(L27/$D$27,"-")</f>
        <v/>
      </c>
      <c r="N27" s="154">
        <f>IFERROR(L27/$D$31,"-")</f>
        <v/>
      </c>
    </row>
    <row r="28" ht="21" customHeight="1">
      <c r="C28" s="94" t="inlineStr">
        <is>
          <t>Núm. baixes confirmades</t>
        </is>
      </c>
      <c r="D28" s="54">
        <f>COUNTIFS($D$39:$D$78,"Baixa")</f>
        <v/>
      </c>
      <c r="E28" s="79">
        <f>IFERROR(D28/$D$27,"-")</f>
        <v/>
      </c>
      <c r="F28" s="155" t="n"/>
      <c r="G28" s="340" t="inlineStr">
        <is>
          <t>Núm. alumnat amb 1 mòdul suspès</t>
        </is>
      </c>
      <c r="L28" s="80" t="n">
        <v>0</v>
      </c>
      <c r="M28" s="79">
        <f>IFERROR(L28/$D$27,"-")</f>
        <v/>
      </c>
      <c r="N28" s="154">
        <f>IFERROR(L28/$D$31,"-")</f>
        <v/>
      </c>
    </row>
    <row r="29" ht="21" customHeight="1">
      <c r="C29" s="94" t="inlineStr">
        <is>
          <t>Núm. abandonaments</t>
        </is>
      </c>
      <c r="D29" s="56" t="n">
        <v>0</v>
      </c>
      <c r="E29" s="79">
        <f>IFERROR(D29/$D$27,"-")</f>
        <v/>
      </c>
      <c r="G29" s="340" t="inlineStr">
        <is>
          <t>Núm. alumnat amb 2 mòduls suspesos</t>
        </is>
      </c>
      <c r="L29" s="80" t="n">
        <v>0</v>
      </c>
      <c r="M29" s="79">
        <f>IFERROR(L29/$D$27,"-")</f>
        <v/>
      </c>
      <c r="N29" s="154">
        <f>IFERROR(L29/$D$31,"-")</f>
        <v/>
      </c>
    </row>
    <row r="30" ht="21" customHeight="1">
      <c r="C30" s="94" t="inlineStr">
        <is>
          <t>Núm. alumnat NESE</t>
        </is>
      </c>
      <c r="D30" s="56" t="n">
        <v>0</v>
      </c>
      <c r="E30" s="79">
        <f>IFERROR(D30/$D$27,"-")</f>
        <v/>
      </c>
      <c r="G30" s="340" t="inlineStr">
        <is>
          <t>Núm. alumnat amb 3 mòduls suspesos</t>
        </is>
      </c>
      <c r="L30" s="80" t="n">
        <v>0</v>
      </c>
      <c r="M30" s="79">
        <f>IFERROR(L30/$D$27,"-")</f>
        <v/>
      </c>
      <c r="N30" s="154">
        <f>IFERROR(L30/$D$31,"-")</f>
        <v/>
      </c>
    </row>
    <row r="31" ht="21" customHeight="1">
      <c r="C31" s="94" t="inlineStr">
        <is>
          <t>Núm. alumnat avaluat</t>
        </is>
      </c>
      <c r="D31" s="56" t="n">
        <v>0</v>
      </c>
      <c r="E31" s="79">
        <f>IFERROR(D31/$D$27,"-")</f>
        <v/>
      </c>
      <c r="G31" s="340" t="inlineStr">
        <is>
          <t>Núm. alumnat amb 4 o més mòduls suspesos</t>
        </is>
      </c>
      <c r="L31" s="80" t="n">
        <v>0</v>
      </c>
      <c r="M31" s="79">
        <f>IFERROR(L31/$D$27,"-")</f>
        <v/>
      </c>
      <c r="N31" s="154">
        <f>IFERROR(L31/$D$31,"-")</f>
        <v/>
      </c>
    </row>
    <row r="32" ht="21" customHeight="1" thickBot="1">
      <c r="C32" s="94" t="inlineStr">
        <is>
          <t>Núm. alumnat no avaluat</t>
        </is>
      </c>
      <c r="D32" s="156" t="n">
        <v>0</v>
      </c>
      <c r="E32" s="157">
        <f>IFERROR(D32/$D$27,"-")</f>
        <v/>
      </c>
      <c r="G32" s="340" t="n"/>
    </row>
    <row r="33" ht="21" customHeight="1">
      <c r="C33" s="40" t="n"/>
      <c r="D33" s="40" t="n"/>
      <c r="E33" s="40" t="n"/>
      <c r="F33" s="40" t="n"/>
      <c r="G33" s="340" t="inlineStr">
        <is>
          <t>Núm. alu. promociona (1r) - titula (2n)</t>
        </is>
      </c>
      <c r="L33" s="80" t="n">
        <v>0</v>
      </c>
      <c r="M33" s="79">
        <f>IFERROR(L33/$D$27,"-")</f>
        <v/>
      </c>
      <c r="N33" s="154">
        <f>IFERROR(L33/$D$31,"-")</f>
        <v/>
      </c>
    </row>
    <row r="34" ht="21" customHeight="1">
      <c r="C34" s="40" t="n"/>
      <c r="D34" s="40" t="n"/>
      <c r="E34" s="40" t="n"/>
      <c r="F34" s="40" t="n"/>
      <c r="G34" s="340" t="inlineStr">
        <is>
          <t>Núm. alu. no promociona (1r) - no titula (2n)</t>
        </is>
      </c>
      <c r="L34" s="158">
        <f>D27-L33</f>
        <v/>
      </c>
      <c r="M34" s="79">
        <f>IFERROR(L34/$D$27,"-")</f>
        <v/>
      </c>
      <c r="N34" s="154">
        <f>IFERROR(L34/$D$31,"-")</f>
        <v/>
      </c>
    </row>
    <row r="36" ht="21" customFormat="1" customHeight="1" s="37">
      <c r="B36" s="196" t="inlineStr">
        <is>
          <t>4- Anàlisi individual de l'alumnat</t>
        </is>
      </c>
    </row>
    <row r="38" ht="32.25" customFormat="1" customHeight="1" s="159">
      <c r="B38" s="160" t="inlineStr">
        <is>
          <t>NIA</t>
        </is>
      </c>
      <c r="C38" s="251" t="inlineStr">
        <is>
          <t>Alumne/a</t>
        </is>
      </c>
      <c r="D38" s="251" t="inlineStr">
        <is>
          <t>Estat 3rT</t>
        </is>
      </c>
      <c r="E38" s="345" t="inlineStr">
        <is>
          <t>Esgota convocatòria</t>
        </is>
      </c>
      <c r="F38" s="345" t="inlineStr">
        <is>
          <t>Mòdul/s que esgota convocatòria</t>
        </is>
      </c>
      <c r="G38" s="387" t="n"/>
      <c r="H38" s="345" t="inlineStr">
        <is>
          <t>Convocatòria extraordinària</t>
        </is>
      </c>
      <c r="I38" s="345" t="inlineStr">
        <is>
          <t>Mòduls - RA suspesos</t>
        </is>
      </c>
      <c r="J38" s="346" t="inlineStr">
        <is>
          <t>Decisió col·legiada</t>
        </is>
      </c>
      <c r="K38" s="347" t="inlineStr">
        <is>
          <t>Motivació - Observacions - Pla reforç -Extraordinària de gràcia</t>
        </is>
      </c>
      <c r="L38" s="387" t="n"/>
      <c r="M38" s="387" t="n"/>
      <c r="N38" s="406" t="n"/>
    </row>
    <row r="39" ht="33" customHeight="1">
      <c r="A39" s="188" t="n">
        <v>1</v>
      </c>
      <c r="B39" s="163">
        <f>IF('0 AVAL'!B36 = "", "", '0 AVAL'!B36)</f>
        <v/>
      </c>
      <c r="C39" s="163">
        <f>IF('0 AVAL'!C36 = "", "", '0 AVAL'!C36)</f>
        <v/>
      </c>
      <c r="D39" s="164" t="n"/>
      <c r="E39" s="348" t="inlineStr">
        <is>
          <t>-</t>
        </is>
      </c>
      <c r="F39" s="348" t="n"/>
      <c r="G39" s="428" t="n"/>
      <c r="H39" s="348" t="inlineStr">
        <is>
          <t>-</t>
        </is>
      </c>
      <c r="I39" s="166" t="n"/>
      <c r="J39" s="348" t="inlineStr">
        <is>
          <t>-</t>
        </is>
      </c>
      <c r="K39" s="348" t="n"/>
      <c r="L39" s="389" t="n"/>
      <c r="M39" s="389" t="n"/>
      <c r="N39" s="428" t="n"/>
    </row>
    <row r="40" ht="33" customHeight="1">
      <c r="A40" s="188" t="n">
        <v>2</v>
      </c>
      <c r="B40" s="163">
        <f>IF('0 AVAL'!B37 = "", "", '0 AVAL'!B37)</f>
        <v/>
      </c>
      <c r="C40" s="163">
        <f>IF('0 AVAL'!C37 = "", "", '0 AVAL'!C37)</f>
        <v/>
      </c>
      <c r="D40" s="145" t="n"/>
      <c r="E40" s="348" t="inlineStr">
        <is>
          <t>-</t>
        </is>
      </c>
      <c r="F40" s="341" t="n"/>
      <c r="G40" s="424" t="n"/>
      <c r="H40" s="348" t="inlineStr">
        <is>
          <t>-</t>
        </is>
      </c>
      <c r="I40" s="167" t="n"/>
      <c r="J40" s="348" t="inlineStr">
        <is>
          <t>-</t>
        </is>
      </c>
      <c r="K40" s="341" t="n"/>
      <c r="L40" s="383" t="n"/>
      <c r="M40" s="383" t="n"/>
      <c r="N40" s="424" t="n"/>
    </row>
    <row r="41" ht="33" customHeight="1">
      <c r="A41" s="188" t="n">
        <v>3</v>
      </c>
      <c r="B41" s="163">
        <f>IF('0 AVAL'!B38 = "", "", '0 AVAL'!B38)</f>
        <v/>
      </c>
      <c r="C41" s="163">
        <f>IF('0 AVAL'!C38 = "", "", '0 AVAL'!C38)</f>
        <v/>
      </c>
      <c r="D41" s="145" t="n"/>
      <c r="E41" s="348" t="inlineStr">
        <is>
          <t>-</t>
        </is>
      </c>
      <c r="F41" s="341" t="n"/>
      <c r="G41" s="424" t="n"/>
      <c r="H41" s="348" t="inlineStr">
        <is>
          <t>-</t>
        </is>
      </c>
      <c r="I41" s="167" t="n"/>
      <c r="J41" s="348" t="inlineStr">
        <is>
          <t>-</t>
        </is>
      </c>
      <c r="K41" s="341" t="n"/>
      <c r="L41" s="383" t="n"/>
      <c r="M41" s="383" t="n"/>
      <c r="N41" s="424" t="n"/>
    </row>
    <row r="42" ht="33" customHeight="1">
      <c r="A42" s="188" t="n">
        <v>4</v>
      </c>
      <c r="B42" s="163">
        <f>IF('0 AVAL'!B39 = "", "", '0 AVAL'!B39)</f>
        <v/>
      </c>
      <c r="C42" s="163">
        <f>IF('0 AVAL'!C39 = "", "", '0 AVAL'!C39)</f>
        <v/>
      </c>
      <c r="D42" s="145" t="n"/>
      <c r="E42" s="348" t="inlineStr">
        <is>
          <t>-</t>
        </is>
      </c>
      <c r="F42" s="341" t="n"/>
      <c r="G42" s="424" t="n"/>
      <c r="H42" s="348" t="inlineStr">
        <is>
          <t>-</t>
        </is>
      </c>
      <c r="I42" s="167" t="n"/>
      <c r="J42" s="348" t="inlineStr">
        <is>
          <t>-</t>
        </is>
      </c>
      <c r="K42" s="341" t="n"/>
      <c r="L42" s="383" t="n"/>
      <c r="M42" s="383" t="n"/>
      <c r="N42" s="424" t="n"/>
    </row>
    <row r="43" ht="33" customHeight="1">
      <c r="A43" s="188" t="n">
        <v>5</v>
      </c>
      <c r="B43" s="163">
        <f>IF('0 AVAL'!B40 = "", "", '0 AVAL'!B40)</f>
        <v/>
      </c>
      <c r="C43" s="163">
        <f>IF('0 AVAL'!C40 = "", "", '0 AVAL'!C40)</f>
        <v/>
      </c>
      <c r="D43" s="145" t="n"/>
      <c r="E43" s="348" t="inlineStr">
        <is>
          <t>-</t>
        </is>
      </c>
      <c r="F43" s="341" t="n"/>
      <c r="G43" s="424" t="n"/>
      <c r="H43" s="348" t="inlineStr">
        <is>
          <t>-</t>
        </is>
      </c>
      <c r="I43" s="167" t="n"/>
      <c r="J43" s="348" t="inlineStr">
        <is>
          <t>-</t>
        </is>
      </c>
      <c r="K43" s="341" t="n"/>
      <c r="L43" s="383" t="n"/>
      <c r="M43" s="383" t="n"/>
      <c r="N43" s="424" t="n"/>
    </row>
    <row r="44" ht="33" customHeight="1">
      <c r="A44" s="188" t="n">
        <v>6</v>
      </c>
      <c r="B44" s="163">
        <f>IF('0 AVAL'!B41 = "", "", '0 AVAL'!B41)</f>
        <v/>
      </c>
      <c r="C44" s="163">
        <f>IF('0 AVAL'!C41 = "", "", '0 AVAL'!C41)</f>
        <v/>
      </c>
      <c r="D44" s="145" t="n"/>
      <c r="E44" s="348" t="inlineStr">
        <is>
          <t>-</t>
        </is>
      </c>
      <c r="F44" s="341" t="n"/>
      <c r="G44" s="424" t="n"/>
      <c r="H44" s="348" t="inlineStr">
        <is>
          <t>-</t>
        </is>
      </c>
      <c r="I44" s="167" t="n"/>
      <c r="J44" s="348" t="inlineStr">
        <is>
          <t>-</t>
        </is>
      </c>
      <c r="K44" s="341" t="n"/>
      <c r="L44" s="383" t="n"/>
      <c r="M44" s="383" t="n"/>
      <c r="N44" s="424" t="n"/>
    </row>
    <row r="45" ht="33" customHeight="1">
      <c r="A45" s="188" t="n">
        <v>7</v>
      </c>
      <c r="B45" s="163">
        <f>IF('0 AVAL'!B42 = "", "", '0 AVAL'!B42)</f>
        <v/>
      </c>
      <c r="C45" s="163">
        <f>IF('0 AVAL'!C42 = "", "", '0 AVAL'!C42)</f>
        <v/>
      </c>
      <c r="D45" s="145" t="n"/>
      <c r="E45" s="348" t="inlineStr">
        <is>
          <t>-</t>
        </is>
      </c>
      <c r="F45" s="341" t="n"/>
      <c r="G45" s="424" t="n"/>
      <c r="H45" s="348" t="inlineStr">
        <is>
          <t>-</t>
        </is>
      </c>
      <c r="I45" s="167" t="n"/>
      <c r="J45" s="348" t="inlineStr">
        <is>
          <t>-</t>
        </is>
      </c>
      <c r="K45" s="341" t="n"/>
      <c r="L45" s="383" t="n"/>
      <c r="M45" s="383" t="n"/>
      <c r="N45" s="424" t="n"/>
    </row>
    <row r="46" ht="33" customHeight="1">
      <c r="A46" s="188" t="n">
        <v>8</v>
      </c>
      <c r="B46" s="163">
        <f>IF('0 AVAL'!B43 = "", "", '0 AVAL'!B43)</f>
        <v/>
      </c>
      <c r="C46" s="163">
        <f>IF('0 AVAL'!C43 = "", "", '0 AVAL'!C43)</f>
        <v/>
      </c>
      <c r="D46" s="145" t="n"/>
      <c r="E46" s="348" t="inlineStr">
        <is>
          <t>-</t>
        </is>
      </c>
      <c r="F46" s="341" t="n"/>
      <c r="G46" s="424" t="n"/>
      <c r="H46" s="348" t="inlineStr">
        <is>
          <t>-</t>
        </is>
      </c>
      <c r="I46" s="167" t="n"/>
      <c r="J46" s="348" t="inlineStr">
        <is>
          <t>-</t>
        </is>
      </c>
      <c r="K46" s="341" t="n"/>
      <c r="L46" s="383" t="n"/>
      <c r="M46" s="383" t="n"/>
      <c r="N46" s="424" t="n"/>
    </row>
    <row r="47" ht="33" customHeight="1">
      <c r="A47" s="188" t="n">
        <v>9</v>
      </c>
      <c r="B47" s="163">
        <f>IF('0 AVAL'!B44 = "", "", '0 AVAL'!B44)</f>
        <v/>
      </c>
      <c r="C47" s="163">
        <f>IF('0 AVAL'!C44 = "", "", '0 AVAL'!C44)</f>
        <v/>
      </c>
      <c r="D47" s="145" t="n"/>
      <c r="E47" s="348" t="inlineStr">
        <is>
          <t>-</t>
        </is>
      </c>
      <c r="F47" s="341" t="n"/>
      <c r="G47" s="424" t="n"/>
      <c r="H47" s="348" t="inlineStr">
        <is>
          <t>-</t>
        </is>
      </c>
      <c r="I47" s="167" t="n"/>
      <c r="J47" s="348" t="inlineStr">
        <is>
          <t>-</t>
        </is>
      </c>
      <c r="K47" s="341" t="n"/>
      <c r="L47" s="383" t="n"/>
      <c r="M47" s="383" t="n"/>
      <c r="N47" s="424" t="n"/>
    </row>
    <row r="48" ht="33" customHeight="1">
      <c r="A48" s="188" t="n">
        <v>10</v>
      </c>
      <c r="B48" s="163">
        <f>IF('0 AVAL'!B45 = "", "", '0 AVAL'!B45)</f>
        <v/>
      </c>
      <c r="C48" s="163">
        <f>IF('0 AVAL'!C45 = "", "", '0 AVAL'!C45)</f>
        <v/>
      </c>
      <c r="D48" s="145" t="n"/>
      <c r="E48" s="348" t="inlineStr">
        <is>
          <t>-</t>
        </is>
      </c>
      <c r="F48" s="341" t="n"/>
      <c r="G48" s="424" t="n"/>
      <c r="H48" s="348" t="inlineStr">
        <is>
          <t>-</t>
        </is>
      </c>
      <c r="I48" s="167" t="n"/>
      <c r="J48" s="348" t="inlineStr">
        <is>
          <t>-</t>
        </is>
      </c>
      <c r="K48" s="341" t="n"/>
      <c r="L48" s="383" t="n"/>
      <c r="M48" s="383" t="n"/>
      <c r="N48" s="424" t="n"/>
    </row>
    <row r="49" ht="33" customHeight="1">
      <c r="A49" s="188" t="n">
        <v>11</v>
      </c>
      <c r="B49" s="163">
        <f>IF('0 AVAL'!B46 = "", "", '0 AVAL'!B46)</f>
        <v/>
      </c>
      <c r="C49" s="163">
        <f>IF('0 AVAL'!C46 = "", "", '0 AVAL'!C46)</f>
        <v/>
      </c>
      <c r="D49" s="145" t="n"/>
      <c r="E49" s="348" t="inlineStr">
        <is>
          <t>-</t>
        </is>
      </c>
      <c r="F49" s="341" t="n"/>
      <c r="G49" s="424" t="n"/>
      <c r="H49" s="348" t="inlineStr">
        <is>
          <t>-</t>
        </is>
      </c>
      <c r="I49" s="167" t="n"/>
      <c r="J49" s="348" t="inlineStr">
        <is>
          <t>-</t>
        </is>
      </c>
      <c r="K49" s="341" t="n"/>
      <c r="L49" s="383" t="n"/>
      <c r="M49" s="383" t="n"/>
      <c r="N49" s="424" t="n"/>
    </row>
    <row r="50" ht="33" customHeight="1">
      <c r="A50" s="188" t="n">
        <v>12</v>
      </c>
      <c r="B50" s="163">
        <f>IF('0 AVAL'!B47 = "", "", '0 AVAL'!B47)</f>
        <v/>
      </c>
      <c r="C50" s="163">
        <f>IF('0 AVAL'!C47 = "", "", '0 AVAL'!C47)</f>
        <v/>
      </c>
      <c r="D50" s="145" t="n"/>
      <c r="E50" s="348" t="inlineStr">
        <is>
          <t>-</t>
        </is>
      </c>
      <c r="F50" s="341" t="n"/>
      <c r="G50" s="424" t="n"/>
      <c r="H50" s="348" t="inlineStr">
        <is>
          <t>-</t>
        </is>
      </c>
      <c r="I50" s="167" t="n"/>
      <c r="J50" s="348" t="inlineStr">
        <is>
          <t>-</t>
        </is>
      </c>
      <c r="K50" s="341" t="n"/>
      <c r="L50" s="383" t="n"/>
      <c r="M50" s="383" t="n"/>
      <c r="N50" s="424" t="n"/>
    </row>
    <row r="51" ht="33" customHeight="1">
      <c r="A51" s="188" t="n">
        <v>13</v>
      </c>
      <c r="B51" s="163">
        <f>IF('0 AVAL'!B48 = "", "", '0 AVAL'!B48)</f>
        <v/>
      </c>
      <c r="C51" s="163">
        <f>IF('0 AVAL'!C48 = "", "", '0 AVAL'!C48)</f>
        <v/>
      </c>
      <c r="D51" s="145" t="n"/>
      <c r="E51" s="348" t="inlineStr">
        <is>
          <t>-</t>
        </is>
      </c>
      <c r="F51" s="341" t="n"/>
      <c r="G51" s="424" t="n"/>
      <c r="H51" s="348" t="inlineStr">
        <is>
          <t>-</t>
        </is>
      </c>
      <c r="I51" s="167" t="n"/>
      <c r="J51" s="348" t="inlineStr">
        <is>
          <t>-</t>
        </is>
      </c>
      <c r="K51" s="341" t="n"/>
      <c r="L51" s="383" t="n"/>
      <c r="M51" s="383" t="n"/>
      <c r="N51" s="424" t="n"/>
    </row>
    <row r="52" ht="33" customHeight="1">
      <c r="A52" s="188" t="n">
        <v>14</v>
      </c>
      <c r="B52" s="163">
        <f>IF('0 AVAL'!B49 = "", "", '0 AVAL'!B49)</f>
        <v/>
      </c>
      <c r="C52" s="163">
        <f>IF('0 AVAL'!C49 = "", "", '0 AVAL'!C49)</f>
        <v/>
      </c>
      <c r="D52" s="145" t="n"/>
      <c r="E52" s="348" t="inlineStr">
        <is>
          <t>-</t>
        </is>
      </c>
      <c r="F52" s="341" t="n"/>
      <c r="G52" s="424" t="n"/>
      <c r="H52" s="348" t="inlineStr">
        <is>
          <t>-</t>
        </is>
      </c>
      <c r="I52" s="167" t="n"/>
      <c r="J52" s="348" t="inlineStr">
        <is>
          <t>-</t>
        </is>
      </c>
      <c r="K52" s="341" t="n"/>
      <c r="L52" s="383" t="n"/>
      <c r="M52" s="383" t="n"/>
      <c r="N52" s="424" t="n"/>
    </row>
    <row r="53" ht="33" customHeight="1">
      <c r="A53" s="188" t="n">
        <v>15</v>
      </c>
      <c r="B53" s="163">
        <f>IF('0 AVAL'!B50 = "", "", '0 AVAL'!B50)</f>
        <v/>
      </c>
      <c r="C53" s="163">
        <f>IF('0 AVAL'!C50 = "", "", '0 AVAL'!C50)</f>
        <v/>
      </c>
      <c r="D53" s="145" t="n"/>
      <c r="E53" s="348" t="inlineStr">
        <is>
          <t>-</t>
        </is>
      </c>
      <c r="F53" s="341" t="n"/>
      <c r="G53" s="424" t="n"/>
      <c r="H53" s="348" t="inlineStr">
        <is>
          <t>-</t>
        </is>
      </c>
      <c r="I53" s="167" t="n"/>
      <c r="J53" s="348" t="inlineStr">
        <is>
          <t>-</t>
        </is>
      </c>
      <c r="K53" s="341" t="n"/>
      <c r="L53" s="383" t="n"/>
      <c r="M53" s="383" t="n"/>
      <c r="N53" s="424" t="n"/>
    </row>
    <row r="54" ht="33" customHeight="1">
      <c r="A54" s="188" t="n">
        <v>16</v>
      </c>
      <c r="B54" s="163">
        <f>IF('0 AVAL'!B51 = "", "", '0 AVAL'!B51)</f>
        <v/>
      </c>
      <c r="C54" s="163">
        <f>IF('0 AVAL'!C51 = "", "", '0 AVAL'!C51)</f>
        <v/>
      </c>
      <c r="D54" s="145" t="n"/>
      <c r="E54" s="348" t="inlineStr">
        <is>
          <t>-</t>
        </is>
      </c>
      <c r="F54" s="341" t="n"/>
      <c r="G54" s="424" t="n"/>
      <c r="H54" s="348" t="inlineStr">
        <is>
          <t>-</t>
        </is>
      </c>
      <c r="I54" s="167" t="n"/>
      <c r="J54" s="348" t="inlineStr">
        <is>
          <t>-</t>
        </is>
      </c>
      <c r="K54" s="341" t="n"/>
      <c r="L54" s="383" t="n"/>
      <c r="M54" s="383" t="n"/>
      <c r="N54" s="424" t="n"/>
    </row>
    <row r="55" ht="33" customHeight="1">
      <c r="A55" s="188" t="n">
        <v>17</v>
      </c>
      <c r="B55" s="163">
        <f>IF('0 AVAL'!B52 = "", "", '0 AVAL'!B52)</f>
        <v/>
      </c>
      <c r="C55" s="163">
        <f>IF('0 AVAL'!C52 = "", "", '0 AVAL'!C52)</f>
        <v/>
      </c>
      <c r="D55" s="145" t="n"/>
      <c r="E55" s="348" t="inlineStr">
        <is>
          <t>-</t>
        </is>
      </c>
      <c r="F55" s="341" t="n"/>
      <c r="G55" s="424" t="n"/>
      <c r="H55" s="348" t="inlineStr">
        <is>
          <t>-</t>
        </is>
      </c>
      <c r="I55" s="167" t="n"/>
      <c r="J55" s="348" t="inlineStr">
        <is>
          <t>-</t>
        </is>
      </c>
      <c r="K55" s="341" t="n"/>
      <c r="L55" s="383" t="n"/>
      <c r="M55" s="383" t="n"/>
      <c r="N55" s="424" t="n"/>
    </row>
    <row r="56" ht="33" customHeight="1">
      <c r="A56" s="188" t="n">
        <v>18</v>
      </c>
      <c r="B56" s="163">
        <f>IF('0 AVAL'!B53 = "", "", '0 AVAL'!B53)</f>
        <v/>
      </c>
      <c r="C56" s="163">
        <f>IF('0 AVAL'!C53 = "", "", '0 AVAL'!C53)</f>
        <v/>
      </c>
      <c r="D56" s="145" t="n"/>
      <c r="E56" s="348" t="inlineStr">
        <is>
          <t>-</t>
        </is>
      </c>
      <c r="F56" s="341" t="n"/>
      <c r="G56" s="424" t="n"/>
      <c r="H56" s="348" t="inlineStr">
        <is>
          <t>-</t>
        </is>
      </c>
      <c r="I56" s="167" t="n"/>
      <c r="J56" s="348" t="inlineStr">
        <is>
          <t>-</t>
        </is>
      </c>
      <c r="K56" s="341" t="n"/>
      <c r="L56" s="383" t="n"/>
      <c r="M56" s="383" t="n"/>
      <c r="N56" s="424" t="n"/>
    </row>
    <row r="57" ht="33" customHeight="1">
      <c r="A57" s="188" t="n">
        <v>19</v>
      </c>
      <c r="B57" s="163">
        <f>IF('0 AVAL'!B54 = "", "", '0 AVAL'!B54)</f>
        <v/>
      </c>
      <c r="C57" s="163">
        <f>IF('0 AVAL'!C54 = "", "", '0 AVAL'!C54)</f>
        <v/>
      </c>
      <c r="D57" s="145" t="n"/>
      <c r="E57" s="348" t="inlineStr">
        <is>
          <t>-</t>
        </is>
      </c>
      <c r="F57" s="341" t="n"/>
      <c r="G57" s="424" t="n"/>
      <c r="H57" s="348" t="inlineStr">
        <is>
          <t>-</t>
        </is>
      </c>
      <c r="I57" s="167" t="n"/>
      <c r="J57" s="348" t="inlineStr">
        <is>
          <t>-</t>
        </is>
      </c>
      <c r="K57" s="341" t="n"/>
      <c r="L57" s="383" t="n"/>
      <c r="M57" s="383" t="n"/>
      <c r="N57" s="424" t="n"/>
    </row>
    <row r="58" ht="33" customHeight="1">
      <c r="A58" s="188" t="n">
        <v>20</v>
      </c>
      <c r="B58" s="163">
        <f>IF('0 AVAL'!B55 = "", "", '0 AVAL'!B55)</f>
        <v/>
      </c>
      <c r="C58" s="163">
        <f>IF('0 AVAL'!C55 = "", "", '0 AVAL'!C55)</f>
        <v/>
      </c>
      <c r="D58" s="145" t="n"/>
      <c r="E58" s="348" t="inlineStr">
        <is>
          <t>-</t>
        </is>
      </c>
      <c r="F58" s="341" t="n"/>
      <c r="G58" s="424" t="n"/>
      <c r="H58" s="348" t="inlineStr">
        <is>
          <t>-</t>
        </is>
      </c>
      <c r="I58" s="167" t="n"/>
      <c r="J58" s="348" t="inlineStr">
        <is>
          <t>-</t>
        </is>
      </c>
      <c r="K58" s="341" t="n"/>
      <c r="L58" s="383" t="n"/>
      <c r="M58" s="383" t="n"/>
      <c r="N58" s="424" t="n"/>
    </row>
    <row r="59" ht="33" customHeight="1">
      <c r="A59" s="188" t="n">
        <v>21</v>
      </c>
      <c r="B59" s="163">
        <f>IF('0 AVAL'!B56 = "", "", '0 AVAL'!B56)</f>
        <v/>
      </c>
      <c r="C59" s="163">
        <f>IF('0 AVAL'!C56 = "", "", '0 AVAL'!C56)</f>
        <v/>
      </c>
      <c r="D59" s="145" t="n"/>
      <c r="E59" s="348" t="inlineStr">
        <is>
          <t>-</t>
        </is>
      </c>
      <c r="F59" s="341" t="n"/>
      <c r="G59" s="424" t="n"/>
      <c r="H59" s="348" t="inlineStr">
        <is>
          <t>-</t>
        </is>
      </c>
      <c r="I59" s="167" t="n"/>
      <c r="J59" s="348" t="inlineStr">
        <is>
          <t>-</t>
        </is>
      </c>
      <c r="K59" s="341" t="n"/>
      <c r="L59" s="383" t="n"/>
      <c r="M59" s="383" t="n"/>
      <c r="N59" s="424" t="n"/>
    </row>
    <row r="60" ht="33" customHeight="1">
      <c r="A60" s="188" t="n">
        <v>22</v>
      </c>
      <c r="B60" s="163">
        <f>IF('0 AVAL'!B57 = "", "", '0 AVAL'!B57)</f>
        <v/>
      </c>
      <c r="C60" s="163">
        <f>IF('0 AVAL'!C57 = "", "", '0 AVAL'!C57)</f>
        <v/>
      </c>
      <c r="D60" s="145" t="n"/>
      <c r="E60" s="348" t="inlineStr">
        <is>
          <t>-</t>
        </is>
      </c>
      <c r="F60" s="341" t="n"/>
      <c r="G60" s="424" t="n"/>
      <c r="H60" s="348" t="inlineStr">
        <is>
          <t>-</t>
        </is>
      </c>
      <c r="I60" s="167" t="n"/>
      <c r="J60" s="348" t="inlineStr">
        <is>
          <t>-</t>
        </is>
      </c>
      <c r="K60" s="341" t="n"/>
      <c r="L60" s="383" t="n"/>
      <c r="M60" s="383" t="n"/>
      <c r="N60" s="424" t="n"/>
    </row>
    <row r="61" ht="33" customHeight="1">
      <c r="A61" s="188" t="n">
        <v>23</v>
      </c>
      <c r="B61" s="163">
        <f>IF('0 AVAL'!B58 = "", "", '0 AVAL'!B58)</f>
        <v/>
      </c>
      <c r="C61" s="163">
        <f>IF('0 AVAL'!C58 = "", "", '0 AVAL'!C58)</f>
        <v/>
      </c>
      <c r="D61" s="145" t="n"/>
      <c r="E61" s="348" t="inlineStr">
        <is>
          <t>-</t>
        </is>
      </c>
      <c r="F61" s="341" t="n"/>
      <c r="G61" s="424" t="n"/>
      <c r="H61" s="348" t="inlineStr">
        <is>
          <t>-</t>
        </is>
      </c>
      <c r="I61" s="167" t="n"/>
      <c r="J61" s="348" t="inlineStr">
        <is>
          <t>-</t>
        </is>
      </c>
      <c r="K61" s="341" t="n"/>
      <c r="L61" s="383" t="n"/>
      <c r="M61" s="383" t="n"/>
      <c r="N61" s="424" t="n"/>
    </row>
    <row r="62" ht="33" customHeight="1">
      <c r="A62" s="188" t="n">
        <v>24</v>
      </c>
      <c r="B62" s="163">
        <f>IF('0 AVAL'!B59 = "", "", '0 AVAL'!B59)</f>
        <v/>
      </c>
      <c r="C62" s="163">
        <f>IF('0 AVAL'!C59 = "", "", '0 AVAL'!C59)</f>
        <v/>
      </c>
      <c r="D62" s="145" t="n"/>
      <c r="E62" s="348" t="inlineStr">
        <is>
          <t>-</t>
        </is>
      </c>
      <c r="F62" s="341" t="n"/>
      <c r="G62" s="424" t="n"/>
      <c r="H62" s="348" t="inlineStr">
        <is>
          <t>-</t>
        </is>
      </c>
      <c r="I62" s="167" t="n"/>
      <c r="J62" s="348" t="inlineStr">
        <is>
          <t>-</t>
        </is>
      </c>
      <c r="K62" s="341" t="n"/>
      <c r="L62" s="383" t="n"/>
      <c r="M62" s="383" t="n"/>
      <c r="N62" s="424" t="n"/>
    </row>
    <row r="63" ht="33" customHeight="1">
      <c r="A63" s="188" t="n">
        <v>25</v>
      </c>
      <c r="B63" s="163">
        <f>IF('0 AVAL'!B60 = "", "", '0 AVAL'!B60)</f>
        <v/>
      </c>
      <c r="C63" s="163">
        <f>IF('0 AVAL'!C60 = "", "", '0 AVAL'!C60)</f>
        <v/>
      </c>
      <c r="D63" s="145" t="n"/>
      <c r="E63" s="348" t="inlineStr">
        <is>
          <t>-</t>
        </is>
      </c>
      <c r="F63" s="341" t="n"/>
      <c r="G63" s="424" t="n"/>
      <c r="H63" s="348" t="inlineStr">
        <is>
          <t>-</t>
        </is>
      </c>
      <c r="I63" s="167" t="n"/>
      <c r="J63" s="348" t="inlineStr">
        <is>
          <t>-</t>
        </is>
      </c>
      <c r="K63" s="341" t="n"/>
      <c r="L63" s="383" t="n"/>
      <c r="M63" s="383" t="n"/>
      <c r="N63" s="424" t="n"/>
    </row>
    <row r="64" ht="33" customHeight="1">
      <c r="A64" s="188" t="n">
        <v>26</v>
      </c>
      <c r="B64" s="163">
        <f>IF('0 AVAL'!B61 = "", "", '0 AVAL'!B61)</f>
        <v/>
      </c>
      <c r="C64" s="163">
        <f>IF('0 AVAL'!C61 = "", "", '0 AVAL'!C61)</f>
        <v/>
      </c>
      <c r="D64" s="145" t="n"/>
      <c r="E64" s="348" t="inlineStr">
        <is>
          <t>-</t>
        </is>
      </c>
      <c r="F64" s="341" t="n"/>
      <c r="G64" s="424" t="n"/>
      <c r="H64" s="348" t="inlineStr">
        <is>
          <t>-</t>
        </is>
      </c>
      <c r="I64" s="167" t="n"/>
      <c r="J64" s="348" t="inlineStr">
        <is>
          <t>-</t>
        </is>
      </c>
      <c r="K64" s="341" t="n"/>
      <c r="L64" s="383" t="n"/>
      <c r="M64" s="383" t="n"/>
      <c r="N64" s="424" t="n"/>
    </row>
    <row r="65" ht="33" customHeight="1">
      <c r="A65" s="188" t="n">
        <v>27</v>
      </c>
      <c r="B65" s="163">
        <f>IF('0 AVAL'!B62 = "", "", '0 AVAL'!B62)</f>
        <v/>
      </c>
      <c r="C65" s="163">
        <f>IF('0 AVAL'!C62 = "", "", '0 AVAL'!C62)</f>
        <v/>
      </c>
      <c r="D65" s="145" t="n"/>
      <c r="E65" s="348" t="inlineStr">
        <is>
          <t>-</t>
        </is>
      </c>
      <c r="F65" s="341" t="n"/>
      <c r="G65" s="424" t="n"/>
      <c r="H65" s="348" t="inlineStr">
        <is>
          <t>-</t>
        </is>
      </c>
      <c r="I65" s="167" t="n"/>
      <c r="J65" s="348" t="inlineStr">
        <is>
          <t>-</t>
        </is>
      </c>
      <c r="K65" s="341" t="n"/>
      <c r="L65" s="383" t="n"/>
      <c r="M65" s="383" t="n"/>
      <c r="N65" s="424" t="n"/>
    </row>
    <row r="66" ht="33" customHeight="1">
      <c r="A66" s="188" t="n">
        <v>28</v>
      </c>
      <c r="B66" s="163">
        <f>IF('0 AVAL'!B63 = "", "", '0 AVAL'!B63)</f>
        <v/>
      </c>
      <c r="C66" s="163">
        <f>IF('0 AVAL'!C63 = "", "", '0 AVAL'!C63)</f>
        <v/>
      </c>
      <c r="D66" s="145" t="n"/>
      <c r="E66" s="348" t="inlineStr">
        <is>
          <t>-</t>
        </is>
      </c>
      <c r="F66" s="341" t="n"/>
      <c r="G66" s="424" t="n"/>
      <c r="H66" s="348" t="inlineStr">
        <is>
          <t>-</t>
        </is>
      </c>
      <c r="I66" s="167" t="n"/>
      <c r="J66" s="348" t="inlineStr">
        <is>
          <t>-</t>
        </is>
      </c>
      <c r="K66" s="341" t="n"/>
      <c r="L66" s="383" t="n"/>
      <c r="M66" s="383" t="n"/>
      <c r="N66" s="424" t="n"/>
    </row>
    <row r="67" ht="33" customHeight="1">
      <c r="A67" s="188" t="n">
        <v>29</v>
      </c>
      <c r="B67" s="163">
        <f>IF('0 AVAL'!B64 = "", "", '0 AVAL'!B64)</f>
        <v/>
      </c>
      <c r="C67" s="163">
        <f>IF('0 AVAL'!C64 = "", "", '0 AVAL'!C64)</f>
        <v/>
      </c>
      <c r="D67" s="145" t="n"/>
      <c r="E67" s="348" t="inlineStr">
        <is>
          <t>-</t>
        </is>
      </c>
      <c r="F67" s="341" t="n"/>
      <c r="G67" s="424" t="n"/>
      <c r="H67" s="348" t="inlineStr">
        <is>
          <t>-</t>
        </is>
      </c>
      <c r="I67" s="167" t="n"/>
      <c r="J67" s="348" t="inlineStr">
        <is>
          <t>-</t>
        </is>
      </c>
      <c r="K67" s="341" t="n"/>
      <c r="L67" s="383" t="n"/>
      <c r="M67" s="383" t="n"/>
      <c r="N67" s="424" t="n"/>
    </row>
    <row r="68" ht="33" customHeight="1">
      <c r="A68" s="188" t="n">
        <v>30</v>
      </c>
      <c r="B68" s="163">
        <f>IF('0 AVAL'!B65 = "", "", '0 AVAL'!B65)</f>
        <v/>
      </c>
      <c r="C68" s="163">
        <f>IF('0 AVAL'!C65 = "", "", '0 AVAL'!C65)</f>
        <v/>
      </c>
      <c r="D68" s="145" t="n"/>
      <c r="E68" s="348" t="inlineStr">
        <is>
          <t>-</t>
        </is>
      </c>
      <c r="F68" s="341" t="n"/>
      <c r="G68" s="424" t="n"/>
      <c r="H68" s="348" t="inlineStr">
        <is>
          <t>-</t>
        </is>
      </c>
      <c r="I68" s="167" t="n"/>
      <c r="J68" s="348" t="inlineStr">
        <is>
          <t>-</t>
        </is>
      </c>
      <c r="K68" s="341" t="n"/>
      <c r="L68" s="383" t="n"/>
      <c r="M68" s="383" t="n"/>
      <c r="N68" s="424" t="n"/>
    </row>
    <row r="69" ht="33" customHeight="1">
      <c r="A69" s="188" t="n">
        <v>31</v>
      </c>
      <c r="B69" s="163">
        <f>IF('0 AVAL'!B66 = "", "", '0 AVAL'!B66)</f>
        <v/>
      </c>
      <c r="C69" s="163">
        <f>IF('0 AVAL'!C66 = "", "", '0 AVAL'!C66)</f>
        <v/>
      </c>
      <c r="D69" s="145" t="n"/>
      <c r="E69" s="348" t="inlineStr">
        <is>
          <t>-</t>
        </is>
      </c>
      <c r="F69" s="341" t="n"/>
      <c r="G69" s="424" t="n"/>
      <c r="H69" s="348" t="inlineStr">
        <is>
          <t>-</t>
        </is>
      </c>
      <c r="I69" s="167" t="n"/>
      <c r="J69" s="348" t="inlineStr">
        <is>
          <t>-</t>
        </is>
      </c>
      <c r="K69" s="341" t="n"/>
      <c r="L69" s="383" t="n"/>
      <c r="M69" s="383" t="n"/>
      <c r="N69" s="424" t="n"/>
    </row>
    <row r="70" ht="33" customHeight="1">
      <c r="A70" s="188" t="n">
        <v>32</v>
      </c>
      <c r="B70" s="163">
        <f>IF('0 AVAL'!B67 = "", "", '0 AVAL'!B67)</f>
        <v/>
      </c>
      <c r="C70" s="163">
        <f>IF('0 AVAL'!C67 = "", "", '0 AVAL'!C67)</f>
        <v/>
      </c>
      <c r="D70" s="145" t="n"/>
      <c r="E70" s="348" t="inlineStr">
        <is>
          <t>-</t>
        </is>
      </c>
      <c r="F70" s="341" t="n"/>
      <c r="G70" s="424" t="n"/>
      <c r="H70" s="348" t="inlineStr">
        <is>
          <t>-</t>
        </is>
      </c>
      <c r="I70" s="167" t="n"/>
      <c r="J70" s="348" t="inlineStr">
        <is>
          <t>-</t>
        </is>
      </c>
      <c r="K70" s="341" t="n"/>
      <c r="L70" s="383" t="n"/>
      <c r="M70" s="383" t="n"/>
      <c r="N70" s="424" t="n"/>
    </row>
    <row r="71" ht="33" customHeight="1">
      <c r="A71" s="188" t="n">
        <v>33</v>
      </c>
      <c r="B71" s="163">
        <f>IF('0 AVAL'!B68 = "", "", '0 AVAL'!B68)</f>
        <v/>
      </c>
      <c r="C71" s="163">
        <f>IF('0 AVAL'!C68 = "", "", '0 AVAL'!C68)</f>
        <v/>
      </c>
      <c r="D71" s="145" t="n"/>
      <c r="E71" s="348" t="inlineStr">
        <is>
          <t>-</t>
        </is>
      </c>
      <c r="F71" s="341" t="n"/>
      <c r="G71" s="424" t="n"/>
      <c r="H71" s="348" t="inlineStr">
        <is>
          <t>-</t>
        </is>
      </c>
      <c r="I71" s="167" t="n"/>
      <c r="J71" s="348" t="inlineStr">
        <is>
          <t>-</t>
        </is>
      </c>
      <c r="K71" s="341" t="n"/>
      <c r="L71" s="383" t="n"/>
      <c r="M71" s="383" t="n"/>
      <c r="N71" s="424" t="n"/>
    </row>
    <row r="72" ht="33" customHeight="1">
      <c r="A72" s="188" t="n">
        <v>34</v>
      </c>
      <c r="B72" s="163">
        <f>IF('0 AVAL'!B69 = "", "", '0 AVAL'!B69)</f>
        <v/>
      </c>
      <c r="C72" s="163">
        <f>IF('0 AVAL'!C69 = "", "", '0 AVAL'!C69)</f>
        <v/>
      </c>
      <c r="D72" s="145" t="n"/>
      <c r="E72" s="348" t="inlineStr">
        <is>
          <t>-</t>
        </is>
      </c>
      <c r="F72" s="341" t="n"/>
      <c r="G72" s="424" t="n"/>
      <c r="H72" s="348" t="inlineStr">
        <is>
          <t>-</t>
        </is>
      </c>
      <c r="I72" s="167" t="n"/>
      <c r="J72" s="348" t="inlineStr">
        <is>
          <t>-</t>
        </is>
      </c>
      <c r="K72" s="341" t="n"/>
      <c r="L72" s="383" t="n"/>
      <c r="M72" s="383" t="n"/>
      <c r="N72" s="424" t="n"/>
    </row>
    <row r="73" ht="33" customHeight="1">
      <c r="A73" s="188" t="n">
        <v>35</v>
      </c>
      <c r="B73" s="163">
        <f>IF('0 AVAL'!B70 = "", "", '0 AVAL'!B70)</f>
        <v/>
      </c>
      <c r="C73" s="163">
        <f>IF('0 AVAL'!C70 = "", "", '0 AVAL'!C70)</f>
        <v/>
      </c>
      <c r="D73" s="145" t="n"/>
      <c r="E73" s="348" t="inlineStr">
        <is>
          <t>-</t>
        </is>
      </c>
      <c r="F73" s="341" t="n"/>
      <c r="G73" s="424" t="n"/>
      <c r="H73" s="348" t="inlineStr">
        <is>
          <t>-</t>
        </is>
      </c>
      <c r="I73" s="167" t="n"/>
      <c r="J73" s="348" t="inlineStr">
        <is>
          <t>-</t>
        </is>
      </c>
      <c r="K73" s="341" t="n"/>
      <c r="L73" s="383" t="n"/>
      <c r="M73" s="383" t="n"/>
      <c r="N73" s="424" t="n"/>
    </row>
    <row r="74" ht="33" customHeight="1">
      <c r="A74" s="188" t="n">
        <v>36</v>
      </c>
      <c r="B74" s="163">
        <f>IF('0 AVAL'!B71 = "", "", '0 AVAL'!B71)</f>
        <v/>
      </c>
      <c r="C74" s="163">
        <f>IF('0 AVAL'!C71 = "", "", '0 AVAL'!C71)</f>
        <v/>
      </c>
      <c r="D74" s="145" t="n"/>
      <c r="E74" s="348" t="inlineStr">
        <is>
          <t>-</t>
        </is>
      </c>
      <c r="F74" s="341" t="n"/>
      <c r="G74" s="424" t="n"/>
      <c r="H74" s="348" t="inlineStr">
        <is>
          <t>-</t>
        </is>
      </c>
      <c r="I74" s="167" t="n"/>
      <c r="J74" s="348" t="inlineStr">
        <is>
          <t>-</t>
        </is>
      </c>
      <c r="K74" s="341" t="n"/>
      <c r="L74" s="383" t="n"/>
      <c r="M74" s="383" t="n"/>
      <c r="N74" s="424" t="n"/>
    </row>
    <row r="75" ht="33" customHeight="1">
      <c r="A75" s="188" t="n">
        <v>37</v>
      </c>
      <c r="B75" s="163">
        <f>IF('0 AVAL'!B72 = "", "", '0 AVAL'!B72)</f>
        <v/>
      </c>
      <c r="C75" s="163">
        <f>IF('0 AVAL'!C72 = "", "", '0 AVAL'!C72)</f>
        <v/>
      </c>
      <c r="D75" s="145" t="n"/>
      <c r="E75" s="348" t="inlineStr">
        <is>
          <t>-</t>
        </is>
      </c>
      <c r="F75" s="341" t="n"/>
      <c r="G75" s="424" t="n"/>
      <c r="H75" s="348" t="inlineStr">
        <is>
          <t>-</t>
        </is>
      </c>
      <c r="I75" s="167" t="n"/>
      <c r="J75" s="348" t="inlineStr">
        <is>
          <t>-</t>
        </is>
      </c>
      <c r="K75" s="341" t="n"/>
      <c r="L75" s="383" t="n"/>
      <c r="M75" s="383" t="n"/>
      <c r="N75" s="424" t="n"/>
    </row>
    <row r="76" ht="33" customHeight="1">
      <c r="A76" s="188" t="n">
        <v>38</v>
      </c>
      <c r="B76" s="163">
        <f>IF('0 AVAL'!B73 = "", "", '0 AVAL'!B73)</f>
        <v/>
      </c>
      <c r="C76" s="163">
        <f>IF('0 AVAL'!C73 = "", "", '0 AVAL'!C73)</f>
        <v/>
      </c>
      <c r="D76" s="145" t="n"/>
      <c r="E76" s="348" t="inlineStr">
        <is>
          <t>-</t>
        </is>
      </c>
      <c r="F76" s="341" t="n"/>
      <c r="G76" s="424" t="n"/>
      <c r="H76" s="348" t="inlineStr">
        <is>
          <t>-</t>
        </is>
      </c>
      <c r="I76" s="167" t="n"/>
      <c r="J76" s="348" t="inlineStr">
        <is>
          <t>-</t>
        </is>
      </c>
      <c r="K76" s="341" t="n"/>
      <c r="L76" s="383" t="n"/>
      <c r="M76" s="383" t="n"/>
      <c r="N76" s="424" t="n"/>
    </row>
    <row r="77" ht="33" customHeight="1">
      <c r="A77" s="188" t="n">
        <v>39</v>
      </c>
      <c r="B77" s="163">
        <f>IF('0 AVAL'!B74 = "", "", '0 AVAL'!B74)</f>
        <v/>
      </c>
      <c r="C77" s="163">
        <f>IF('0 AVAL'!C74 = "", "", '0 AVAL'!C74)</f>
        <v/>
      </c>
      <c r="D77" s="145" t="n"/>
      <c r="E77" s="348" t="inlineStr">
        <is>
          <t>-</t>
        </is>
      </c>
      <c r="F77" s="341" t="n"/>
      <c r="G77" s="424" t="n"/>
      <c r="H77" s="348" t="inlineStr">
        <is>
          <t>-</t>
        </is>
      </c>
      <c r="I77" s="167" t="n"/>
      <c r="J77" s="348" t="inlineStr">
        <is>
          <t>-</t>
        </is>
      </c>
      <c r="K77" s="341" t="n"/>
      <c r="L77" s="383" t="n"/>
      <c r="M77" s="383" t="n"/>
      <c r="N77" s="424" t="n"/>
    </row>
    <row r="78" ht="33" customHeight="1">
      <c r="A78" s="188" t="n">
        <v>40</v>
      </c>
      <c r="B78" s="163">
        <f>IF('0 AVAL'!B75 = "", "", '0 AVAL'!B75)</f>
        <v/>
      </c>
      <c r="C78" s="163">
        <f>IF('0 AVAL'!C75 = "", "", '0 AVAL'!C75)</f>
        <v/>
      </c>
      <c r="D78" s="145" t="n"/>
      <c r="E78" s="348" t="inlineStr">
        <is>
          <t>-</t>
        </is>
      </c>
      <c r="F78" s="341" t="n"/>
      <c r="G78" s="424" t="n"/>
      <c r="H78" s="348" t="inlineStr">
        <is>
          <t>-</t>
        </is>
      </c>
      <c r="I78" s="167" t="n"/>
      <c r="J78" s="348" t="inlineStr">
        <is>
          <t>-</t>
        </is>
      </c>
      <c r="K78" s="341" t="n"/>
      <c r="L78" s="383" t="n"/>
      <c r="M78" s="383" t="n"/>
      <c r="N78" s="424" t="n"/>
    </row>
    <row r="79" ht="16.15" customHeight="1" thickBot="1"/>
    <row r="80" ht="21.4" customFormat="1" customHeight="1" s="37" thickBot="1">
      <c r="B80" s="418" t="inlineStr">
        <is>
          <t>5- Seguiments d'acords i mesures adoptades de manera consensuada per l'equip docent en anteriors reunions</t>
        </is>
      </c>
      <c r="C80" s="419" t="n"/>
      <c r="D80" s="419" t="n"/>
      <c r="E80" s="419" t="n"/>
      <c r="F80" s="419" t="n"/>
      <c r="G80" s="419" t="n"/>
      <c r="H80" s="419" t="n"/>
      <c r="I80" s="419" t="n"/>
      <c r="J80" s="419" t="n"/>
      <c r="K80" s="419" t="n"/>
      <c r="L80" s="419" t="n"/>
      <c r="M80" s="419" t="n"/>
      <c r="N80" s="420" t="n"/>
    </row>
    <row r="81">
      <c r="B81" s="2" t="n"/>
      <c r="C81" s="2" t="n"/>
      <c r="D81" s="2" t="n"/>
      <c r="E81" s="2" t="n"/>
      <c r="F81" s="2" t="n"/>
      <c r="G81" s="2" t="n"/>
      <c r="H81" s="2" t="n"/>
      <c r="I81" s="2" t="n"/>
      <c r="J81" s="309" t="inlineStr">
        <is>
          <t>Seguiment</t>
        </is>
      </c>
      <c r="K81" s="309" t="inlineStr">
        <is>
          <t>Observacions</t>
        </is>
      </c>
    </row>
    <row r="82">
      <c r="A82" s="86" t="n">
        <v>1</v>
      </c>
      <c r="B82" s="278" t="inlineStr"/>
      <c r="C82" s="387" t="n"/>
      <c r="D82" s="387" t="n"/>
      <c r="E82" s="387" t="n"/>
      <c r="F82" s="387" t="n"/>
      <c r="G82" s="387" t="n"/>
      <c r="H82" s="387" t="n"/>
      <c r="I82" s="387" t="n"/>
      <c r="J82" s="168" t="n"/>
      <c r="K82" s="352" t="n"/>
      <c r="L82" s="387" t="n"/>
      <c r="M82" s="387" t="n"/>
      <c r="N82" s="387" t="n"/>
    </row>
    <row r="83">
      <c r="A83" s="86" t="n">
        <v>2</v>
      </c>
      <c r="B83" s="280" t="inlineStr"/>
      <c r="C83" s="394" t="n"/>
      <c r="D83" s="394" t="n"/>
      <c r="E83" s="394" t="n"/>
      <c r="F83" s="394" t="n"/>
      <c r="G83" s="394" t="n"/>
      <c r="H83" s="394" t="n"/>
      <c r="I83" s="394" t="n"/>
      <c r="J83" s="168" t="n"/>
      <c r="K83" s="352" t="n"/>
      <c r="L83" s="387" t="n"/>
      <c r="M83" s="387" t="n"/>
      <c r="N83" s="387" t="n"/>
    </row>
    <row r="84">
      <c r="A84" s="86" t="n">
        <v>3</v>
      </c>
      <c r="B84" s="280" t="inlineStr"/>
      <c r="C84" s="394" t="n"/>
      <c r="D84" s="394" t="n"/>
      <c r="E84" s="394" t="n"/>
      <c r="F84" s="394" t="n"/>
      <c r="G84" s="394" t="n"/>
      <c r="H84" s="394" t="n"/>
      <c r="I84" s="394" t="n"/>
      <c r="J84" s="168" t="n"/>
      <c r="K84" s="352" t="n"/>
      <c r="L84" s="387" t="n"/>
      <c r="M84" s="387" t="n"/>
      <c r="N84" s="387" t="n"/>
    </row>
    <row r="85">
      <c r="A85" s="86" t="n">
        <v>4</v>
      </c>
      <c r="B85" s="280" t="inlineStr"/>
      <c r="C85" s="394" t="n"/>
      <c r="D85" s="394" t="n"/>
      <c r="E85" s="394" t="n"/>
      <c r="F85" s="394" t="n"/>
      <c r="G85" s="394" t="n"/>
      <c r="H85" s="394" t="n"/>
      <c r="I85" s="394" t="n"/>
      <c r="J85" s="168" t="n"/>
      <c r="K85" s="352" t="n"/>
      <c r="L85" s="387" t="n"/>
      <c r="M85" s="387" t="n"/>
      <c r="N85" s="387" t="n"/>
    </row>
    <row r="86">
      <c r="A86" s="86" t="n">
        <v>5</v>
      </c>
      <c r="B86" s="280" t="inlineStr"/>
      <c r="C86" s="394" t="n"/>
      <c r="D86" s="394" t="n"/>
      <c r="E86" s="394" t="n"/>
      <c r="F86" s="394" t="n"/>
      <c r="G86" s="394" t="n"/>
      <c r="H86" s="394" t="n"/>
      <c r="I86" s="394" t="n"/>
      <c r="J86" s="168" t="n"/>
      <c r="K86" s="352" t="n"/>
      <c r="L86" s="387" t="n"/>
      <c r="M86" s="387" t="n"/>
      <c r="N86" s="387" t="n"/>
    </row>
    <row r="87">
      <c r="A87" s="86" t="n">
        <v>6</v>
      </c>
      <c r="B87" s="280" t="inlineStr"/>
      <c r="C87" s="394" t="n"/>
      <c r="D87" s="394" t="n"/>
      <c r="E87" s="394" t="n"/>
      <c r="F87" s="394" t="n"/>
      <c r="G87" s="394" t="n"/>
      <c r="H87" s="394" t="n"/>
      <c r="I87" s="394" t="n"/>
      <c r="J87" s="168" t="n"/>
      <c r="K87" s="352" t="n"/>
      <c r="L87" s="387" t="n"/>
      <c r="M87" s="387" t="n"/>
      <c r="N87" s="387" t="n"/>
    </row>
    <row r="88" ht="16.15" customHeight="1" thickBot="1">
      <c r="A88" s="86" t="n">
        <v>7</v>
      </c>
      <c r="B88" s="285" t="inlineStr"/>
      <c r="C88" s="403" t="n"/>
      <c r="D88" s="403" t="n"/>
      <c r="E88" s="403" t="n"/>
      <c r="F88" s="403" t="n"/>
      <c r="G88" s="403" t="n"/>
      <c r="H88" s="403" t="n"/>
      <c r="I88" s="403" t="n"/>
      <c r="J88" s="169" t="n"/>
      <c r="K88" s="353" t="n"/>
      <c r="L88" s="388" t="n"/>
      <c r="M88" s="388" t="n"/>
      <c r="N88" s="388" t="n"/>
    </row>
    <row r="89" ht="16.15" customHeight="1" thickBot="1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 ht="21.4" customFormat="1" customHeight="1" s="37" thickBot="1">
      <c r="B90" s="418" t="inlineStr">
        <is>
          <t>6- Acords adoptats de caràcter col·legiat per l'equip docent</t>
        </is>
      </c>
      <c r="C90" s="419" t="n"/>
      <c r="D90" s="419" t="n"/>
      <c r="E90" s="419" t="n"/>
      <c r="F90" s="419" t="n"/>
      <c r="G90" s="419" t="n"/>
      <c r="H90" s="419" t="n"/>
      <c r="I90" s="419" t="n"/>
      <c r="J90" s="419" t="n"/>
      <c r="K90" s="419" t="n"/>
      <c r="L90" s="419" t="n"/>
      <c r="M90" s="419" t="n"/>
      <c r="N90" s="420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 ht="30.75" customFormat="1" customHeight="1" s="29">
      <c r="A92" s="129" t="n">
        <v>1</v>
      </c>
      <c r="B92" s="281">
        <f>IF(ACORDS!E33 = "", "", ACORDS!E33)</f>
        <v/>
      </c>
      <c r="C92" s="387" t="n"/>
      <c r="D92" s="387" t="n"/>
      <c r="E92" s="387" t="n"/>
      <c r="F92" s="387" t="n"/>
      <c r="G92" s="387" t="n"/>
      <c r="H92" s="387" t="n"/>
      <c r="I92" s="387" t="n"/>
      <c r="J92" s="421" t="inlineStr">
        <is>
          <t xml:space="preserve">Acta elaborada per: XXXXX. XX:XXh </t>
        </is>
      </c>
      <c r="K92" s="398" t="n"/>
      <c r="L92" s="398" t="n"/>
      <c r="M92" s="398" t="n"/>
      <c r="N92" s="399" t="n"/>
    </row>
    <row r="93" ht="30.75" customFormat="1" customHeight="1" s="29">
      <c r="A93" s="129" t="n">
        <v>2</v>
      </c>
      <c r="B93" s="281">
        <f>IF(ACORDS!E34 = "", "", ACORDS!E34)</f>
        <v/>
      </c>
      <c r="C93" s="387" t="n"/>
      <c r="D93" s="387" t="n"/>
      <c r="E93" s="387" t="n"/>
      <c r="F93" s="387" t="n"/>
      <c r="G93" s="387" t="n"/>
      <c r="H93" s="387" t="n"/>
      <c r="I93" s="387" t="n"/>
      <c r="J93" s="400" t="n"/>
      <c r="N93" s="401" t="n"/>
    </row>
    <row r="94" ht="30.75" customFormat="1" customHeight="1" s="29">
      <c r="A94" s="129" t="n">
        <v>3</v>
      </c>
      <c r="B94" s="281">
        <f>IF(ACORDS!E35 = "", "", ACORDS!E35)</f>
        <v/>
      </c>
      <c r="C94" s="387" t="n"/>
      <c r="D94" s="387" t="n"/>
      <c r="E94" s="387" t="n"/>
      <c r="F94" s="387" t="n"/>
      <c r="G94" s="387" t="n"/>
      <c r="H94" s="387" t="n"/>
      <c r="I94" s="387" t="n"/>
      <c r="J94" s="400" t="n"/>
      <c r="N94" s="401" t="n"/>
    </row>
    <row r="95" ht="30.75" customFormat="1" customHeight="1" s="29">
      <c r="A95" s="129" t="n">
        <v>4</v>
      </c>
      <c r="B95" s="281">
        <f>IF(ACORDS!E36 = "", "", ACORDS!E36)</f>
        <v/>
      </c>
      <c r="C95" s="387" t="n"/>
      <c r="D95" s="387" t="n"/>
      <c r="E95" s="387" t="n"/>
      <c r="F95" s="387" t="n"/>
      <c r="G95" s="387" t="n"/>
      <c r="H95" s="387" t="n"/>
      <c r="I95" s="387" t="n"/>
      <c r="J95" s="400" t="n"/>
      <c r="N95" s="401" t="n"/>
    </row>
    <row r="96" ht="30.75" customFormat="1" customHeight="1" s="29">
      <c r="A96" s="129" t="n">
        <v>5</v>
      </c>
      <c r="B96" s="281">
        <f>IF(ACORDS!E37 = "", "", ACORDS!E37)</f>
        <v/>
      </c>
      <c r="C96" s="387" t="n"/>
      <c r="D96" s="387" t="n"/>
      <c r="E96" s="387" t="n"/>
      <c r="F96" s="387" t="n"/>
      <c r="G96" s="387" t="n"/>
      <c r="H96" s="387" t="n"/>
      <c r="I96" s="387" t="n"/>
      <c r="J96" s="400" t="n"/>
      <c r="N96" s="401" t="n"/>
    </row>
    <row r="97" ht="30.75" customFormat="1" customHeight="1" s="29">
      <c r="A97" s="129" t="n">
        <v>6</v>
      </c>
      <c r="B97" s="281">
        <f>IF(ACORDS!E38 = "", "", ACORDS!E38)</f>
        <v/>
      </c>
      <c r="C97" s="387" t="n"/>
      <c r="D97" s="387" t="n"/>
      <c r="E97" s="387" t="n"/>
      <c r="F97" s="387" t="n"/>
      <c r="G97" s="387" t="n"/>
      <c r="H97" s="387" t="n"/>
      <c r="I97" s="387" t="n"/>
      <c r="J97" s="400" t="n"/>
      <c r="N97" s="401" t="n"/>
    </row>
    <row r="98" ht="30.75" customFormat="1" customHeight="1" s="29" thickBot="1">
      <c r="A98" s="129" t="n">
        <v>7</v>
      </c>
      <c r="B98" s="281">
        <f>IF(ACORDS!E39 = "", "", ACORDS!E39)</f>
        <v/>
      </c>
      <c r="C98" s="387" t="n"/>
      <c r="D98" s="387" t="n"/>
      <c r="E98" s="387" t="n"/>
      <c r="F98" s="387" t="n"/>
      <c r="G98" s="387" t="n"/>
      <c r="H98" s="387" t="n"/>
      <c r="I98" s="387" t="n"/>
      <c r="J98" s="402" t="n"/>
      <c r="K98" s="403" t="n"/>
      <c r="L98" s="403" t="n"/>
      <c r="M98" s="403" t="n"/>
      <c r="N98" s="404" t="n"/>
    </row>
    <row r="99" ht="50.25" customHeight="1">
      <c r="B99" s="282" t="inlineStr">
        <is>
          <t>En aquest document s'està realitzant un tractament de dades de l'alumnat que està regulat per la normativa vigent en matèria de Protecció de Dades de Caràcter Personal (LOPD 3/2018 i Resolució Conselleria
Educació, Investigació, Cultura i Esport del 28/6/2018). Recorda que les dades han de ser tractats de manera responsable i que has de guardar secret professional i no cedir o divulgar les dades ací contingudes.</t>
        </is>
      </c>
      <c r="C99" s="386" t="n"/>
      <c r="D99" s="386" t="n"/>
      <c r="E99" s="386" t="n"/>
      <c r="F99" s="386" t="n"/>
      <c r="G99" s="386" t="n"/>
      <c r="H99" s="386" t="n"/>
      <c r="I99" s="386" t="n"/>
      <c r="J99" s="386" t="n"/>
      <c r="K99" s="386" t="n"/>
      <c r="L99" s="386" t="n"/>
      <c r="M99" s="386" t="n"/>
      <c r="N99" s="386" t="n"/>
    </row>
  </sheetData>
  <mergeCells count="136">
    <mergeCell ref="K61:N61"/>
    <mergeCell ref="K70:N70"/>
    <mergeCell ref="B11:M11"/>
    <mergeCell ref="K48:N48"/>
    <mergeCell ref="D2:F6"/>
    <mergeCell ref="F68:G68"/>
    <mergeCell ref="K38:N38"/>
    <mergeCell ref="K65:N65"/>
    <mergeCell ref="B96:I96"/>
    <mergeCell ref="B36:N36"/>
    <mergeCell ref="J92:N98"/>
    <mergeCell ref="K62:N62"/>
    <mergeCell ref="K49:N49"/>
    <mergeCell ref="B98:I98"/>
    <mergeCell ref="J5:M5"/>
    <mergeCell ref="F70:G70"/>
    <mergeCell ref="B88:I88"/>
    <mergeCell ref="G2:G6"/>
    <mergeCell ref="B82:I82"/>
    <mergeCell ref="B15:M15"/>
    <mergeCell ref="K88:N88"/>
    <mergeCell ref="F72:G72"/>
    <mergeCell ref="G33:K33"/>
    <mergeCell ref="K76:N76"/>
    <mergeCell ref="F56:G56"/>
    <mergeCell ref="F71:G71"/>
    <mergeCell ref="F43:G43"/>
    <mergeCell ref="B83:I83"/>
    <mergeCell ref="K58:N58"/>
    <mergeCell ref="K67:N67"/>
    <mergeCell ref="J4:M4"/>
    <mergeCell ref="B85:I85"/>
    <mergeCell ref="F57:G57"/>
    <mergeCell ref="F54:G54"/>
    <mergeCell ref="K39:N39"/>
    <mergeCell ref="F63:G63"/>
    <mergeCell ref="K53:N53"/>
    <mergeCell ref="B17:M17"/>
    <mergeCell ref="F74:G74"/>
    <mergeCell ref="B86:I86"/>
    <mergeCell ref="K69:N69"/>
    <mergeCell ref="K78:N78"/>
    <mergeCell ref="K87:N87"/>
    <mergeCell ref="F76:G76"/>
    <mergeCell ref="B2:C6"/>
    <mergeCell ref="F45:G45"/>
    <mergeCell ref="G28:K28"/>
    <mergeCell ref="F42:G42"/>
    <mergeCell ref="F66:G66"/>
    <mergeCell ref="F75:G75"/>
    <mergeCell ref="F47:G47"/>
    <mergeCell ref="F62:G62"/>
    <mergeCell ref="G30:K30"/>
    <mergeCell ref="K64:N64"/>
    <mergeCell ref="B87:I87"/>
    <mergeCell ref="K51:N51"/>
    <mergeCell ref="F46:G46"/>
    <mergeCell ref="K72:N72"/>
    <mergeCell ref="K63:N63"/>
    <mergeCell ref="K41:N41"/>
    <mergeCell ref="K81:N81"/>
    <mergeCell ref="F61:G61"/>
    <mergeCell ref="K50:N50"/>
    <mergeCell ref="F39:G39"/>
    <mergeCell ref="F48:G48"/>
    <mergeCell ref="K56:N56"/>
    <mergeCell ref="G32:K32"/>
    <mergeCell ref="K43:N43"/>
    <mergeCell ref="J2:N2"/>
    <mergeCell ref="K52:N52"/>
    <mergeCell ref="F64:G64"/>
    <mergeCell ref="F73:G73"/>
    <mergeCell ref="K42:N42"/>
    <mergeCell ref="J3:M3"/>
    <mergeCell ref="K82:N82"/>
    <mergeCell ref="G27:K27"/>
    <mergeCell ref="B24:N24"/>
    <mergeCell ref="B80:N80"/>
    <mergeCell ref="B93:I93"/>
    <mergeCell ref="F53:G53"/>
    <mergeCell ref="K74:N74"/>
    <mergeCell ref="K83:N83"/>
    <mergeCell ref="F50:G50"/>
    <mergeCell ref="B90:N90"/>
    <mergeCell ref="K45:N45"/>
    <mergeCell ref="K54:N54"/>
    <mergeCell ref="K55:N55"/>
    <mergeCell ref="K47:N47"/>
    <mergeCell ref="F77:G77"/>
    <mergeCell ref="K46:N46"/>
    <mergeCell ref="G29:K29"/>
    <mergeCell ref="K40:N40"/>
    <mergeCell ref="B95:I95"/>
    <mergeCell ref="B22:M22"/>
    <mergeCell ref="F49:G49"/>
    <mergeCell ref="G31:K31"/>
    <mergeCell ref="K71:N71"/>
    <mergeCell ref="B12:M12"/>
    <mergeCell ref="B97:I97"/>
    <mergeCell ref="B99:N99"/>
    <mergeCell ref="F69:G69"/>
    <mergeCell ref="F78:G78"/>
    <mergeCell ref="B9:N9"/>
    <mergeCell ref="F65:G65"/>
    <mergeCell ref="K73:N73"/>
    <mergeCell ref="B14:M14"/>
    <mergeCell ref="F40:G40"/>
    <mergeCell ref="B20:N20"/>
    <mergeCell ref="K57:N57"/>
    <mergeCell ref="K66:N66"/>
    <mergeCell ref="F59:G59"/>
    <mergeCell ref="F55:G55"/>
    <mergeCell ref="F51:G51"/>
    <mergeCell ref="K68:N68"/>
    <mergeCell ref="F41:G41"/>
    <mergeCell ref="G34:K34"/>
    <mergeCell ref="F38:G38"/>
    <mergeCell ref="K60:N60"/>
    <mergeCell ref="J6:M6"/>
    <mergeCell ref="K85:N85"/>
    <mergeCell ref="F58:G58"/>
    <mergeCell ref="B84:I84"/>
    <mergeCell ref="F52:G52"/>
    <mergeCell ref="F67:G67"/>
    <mergeCell ref="B92:I92"/>
    <mergeCell ref="K84:N84"/>
    <mergeCell ref="K75:N75"/>
    <mergeCell ref="K44:N44"/>
    <mergeCell ref="K59:N59"/>
    <mergeCell ref="F60:G60"/>
    <mergeCell ref="K77:N77"/>
    <mergeCell ref="B94:I94"/>
    <mergeCell ref="K86:N86"/>
    <mergeCell ref="B18:M18"/>
    <mergeCell ref="J7:M7"/>
    <mergeCell ref="F44:G44"/>
  </mergeCells>
  <conditionalFormatting sqref="E39:E78">
    <cfRule type="cellIs" priority="6" operator="equal" dxfId="3">
      <formula>"Sí"</formula>
    </cfRule>
  </conditionalFormatting>
  <conditionalFormatting sqref="H39:H78">
    <cfRule type="cellIs" priority="1" operator="equal" dxfId="3">
      <formula>"Sí"</formula>
    </cfRule>
  </conditionalFormatting>
  <conditionalFormatting sqref="J82:J88">
    <cfRule type="containsText" priority="2" operator="containsText" dxfId="2" text="No">
      <formula>NOT(ISERROR(SEARCH("No",J82)))</formula>
    </cfRule>
    <cfRule type="containsText" priority="3" operator="containsText" dxfId="1" text="Procés">
      <formula>NOT(ISERROR(SEARCH("Procés",J82)))</formula>
    </cfRule>
    <cfRule type="containsText" priority="4" operator="containsText" dxfId="0" text="Fet">
      <formula>NOT(ISERROR(SEARCH("Fet",J82)))</formula>
    </cfRule>
  </conditionalFormatting>
  <dataValidations count="2">
    <dataValidation sqref="J6:M6" showDropDown="0" showInputMessage="1" showErrorMessage="1" allowBlank="1"/>
    <dataValidation sqref="J7:M7" showDropDown="0" showInputMessage="1" showErrorMessage="1" allowBlank="1" type="date">
      <formula1>45170</formula1>
      <formula2>47664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N84"/>
  <sheetViews>
    <sheetView topLeftCell="I1" workbookViewId="0">
      <selection activeCell="N14" sqref="N14"/>
    </sheetView>
  </sheetViews>
  <sheetFormatPr baseColWidth="10" defaultColWidth="0" defaultRowHeight="15.75" zeroHeight="1"/>
  <cols>
    <col width="3.265625" customWidth="1" style="248" min="1" max="1"/>
    <col width="21.73046875" customWidth="1" style="248" min="2" max="2"/>
    <col width="25.265625" customWidth="1" style="248" min="3" max="3"/>
    <col width="12.59765625" customWidth="1" style="248" min="4" max="8"/>
    <col width="15.3984375" customWidth="1" style="248" min="9" max="9"/>
    <col width="15.86328125" customWidth="1" style="248" min="10" max="11"/>
    <col width="12.59765625" customWidth="1" style="248" min="12" max="14"/>
    <col hidden="1" style="248" min="15" max="22"/>
    <col hidden="1" width="4.3984375" customWidth="1" style="248" min="23" max="181"/>
    <col hidden="1" style="248" min="182" max="16383"/>
    <col width="4.73046875" customWidth="1" style="248" min="16384" max="16384"/>
  </cols>
  <sheetData>
    <row r="1" ht="15.75" customHeight="1">
      <c r="B1" s="29" t="n"/>
      <c r="C1" s="29" t="n"/>
      <c r="D1" s="29" t="n"/>
      <c r="E1" s="29" t="n"/>
      <c r="F1" s="29" t="n"/>
      <c r="G1" s="29" t="n"/>
      <c r="H1" s="29" t="n"/>
      <c r="I1" s="30" t="inlineStr">
        <is>
          <t>PC03.F01 Acta d'avaluació Ed.02 - Setem.25</t>
        </is>
      </c>
      <c r="J1" s="30" t="n"/>
      <c r="K1" s="30" t="n"/>
      <c r="L1" s="31" t="n"/>
      <c r="M1" s="30" t="n"/>
    </row>
    <row r="2" ht="15.75" customHeight="1">
      <c r="B2" s="197" t="e">
        <v>#VALUE!</v>
      </c>
      <c r="D2" s="197" t="e">
        <v>#VALUE!</v>
      </c>
      <c r="G2" s="197" t="n"/>
      <c r="H2" s="197" t="n"/>
      <c r="J2" s="248" t="n"/>
    </row>
    <row r="3" ht="15.75" customHeight="1">
      <c r="H3" s="197" t="n"/>
      <c r="I3" s="70" t="inlineStr">
        <is>
          <t>GRUP</t>
        </is>
      </c>
      <c r="J3" s="198">
        <f>IF(INDEX!G3 = "", "", INDEX!G3)</f>
        <v/>
      </c>
      <c r="K3" s="387" t="n"/>
      <c r="L3" s="387" t="n"/>
      <c r="M3" s="387" t="n"/>
    </row>
    <row r="4" ht="15.75" customHeight="1">
      <c r="H4" s="197" t="n"/>
      <c r="I4" s="317" t="inlineStr">
        <is>
          <t>TUTOR/A</t>
        </is>
      </c>
      <c r="J4" s="198">
        <f>IF(INDEX!G4 = "", "", INDEX!G4)</f>
        <v/>
      </c>
      <c r="K4" s="387" t="n"/>
      <c r="L4" s="387" t="n"/>
      <c r="M4" s="387" t="n"/>
    </row>
    <row r="5" ht="15.75" customHeight="1">
      <c r="H5" s="197" t="n"/>
      <c r="I5" s="71" t="inlineStr">
        <is>
          <t>CURS ESCOLAR</t>
        </is>
      </c>
      <c r="J5" s="198">
        <f>INDEX!G5</f>
        <v/>
      </c>
      <c r="K5" s="387" t="n"/>
      <c r="L5" s="387" t="n"/>
      <c r="M5" s="387" t="n"/>
    </row>
    <row r="6" ht="15.75" customHeight="1" thickBot="1">
      <c r="H6" s="197" t="n"/>
      <c r="I6" s="314" t="inlineStr">
        <is>
          <t>AVALUACIÓ</t>
        </is>
      </c>
      <c r="J6" s="199" t="inlineStr">
        <is>
          <t>Avaluació extraordinària</t>
        </is>
      </c>
      <c r="K6" s="388" t="n"/>
      <c r="L6" s="388" t="n"/>
      <c r="M6" s="388" t="n"/>
    </row>
    <row r="7">
      <c r="B7" s="29" t="n"/>
      <c r="C7" s="29" t="n"/>
      <c r="D7" s="197" t="n"/>
      <c r="E7" s="197" t="n"/>
      <c r="F7" s="197" t="n"/>
      <c r="G7" s="197" t="n"/>
      <c r="H7" s="197" t="n"/>
      <c r="I7" s="73" t="inlineStr">
        <is>
          <t>DATA REUNIÓ</t>
        </is>
      </c>
      <c r="J7" s="249" t="n"/>
      <c r="K7" s="386" t="n"/>
      <c r="L7" s="386" t="n"/>
      <c r="M7" s="386" t="n"/>
    </row>
    <row r="8" ht="27" customHeight="1"/>
    <row r="9" ht="21" customFormat="1" customHeight="1" s="37">
      <c r="B9" s="196" t="inlineStr">
        <is>
          <t>1- Estadístiques</t>
        </is>
      </c>
    </row>
    <row r="10">
      <c r="B10" s="74" t="inlineStr">
        <is>
          <t>Inclou el valor (número) en les cel·les ombrejades en roig</t>
        </is>
      </c>
    </row>
    <row r="11" ht="19.5" customHeight="1">
      <c r="D11" s="152" t="inlineStr">
        <is>
          <t>Núm. alu</t>
        </is>
      </c>
      <c r="F11" s="153" t="n"/>
      <c r="L11" s="152" t="inlineStr">
        <is>
          <t>Núm. alu</t>
        </is>
      </c>
      <c r="M11" s="152" t="inlineStr">
        <is>
          <t>% sobre total</t>
        </is>
      </c>
      <c r="N11" s="152" t="inlineStr">
        <is>
          <t>Sobre avaluats</t>
        </is>
      </c>
    </row>
    <row r="12" ht="19.5" customHeight="1">
      <c r="C12" s="94" t="inlineStr">
        <is>
          <t>Núm. alumnat total grup</t>
        </is>
      </c>
      <c r="D12" s="54">
        <f>COUNTIFS($C$24:$C$63,"&lt;&gt;",$D$24:$D$63,"&lt;&gt;Baixa")-COUNTBLANK($C$24:$C$63)</f>
        <v/>
      </c>
      <c r="E12" s="170" t="inlineStr">
        <is>
          <t>% sobre total extraordinària</t>
        </is>
      </c>
      <c r="G12" s="340" t="inlineStr">
        <is>
          <t>Núm. alumnat amb tot aprovat (final + extraordinària)</t>
        </is>
      </c>
      <c r="L12" s="158">
        <f>FINAL!L27+EXTRAORD!D17</f>
        <v/>
      </c>
      <c r="M12" s="79">
        <f>IFERROR(L12/$D$12,"-")</f>
        <v/>
      </c>
      <c r="N12" s="154">
        <f>IFERROR(L12/($D$15+FINAL!$D$31),"-")</f>
        <v/>
      </c>
    </row>
    <row r="13" ht="19.5" customHeight="1">
      <c r="C13" s="94" t="inlineStr">
        <is>
          <t>Núm. baixes confirmades</t>
        </is>
      </c>
      <c r="D13" s="54">
        <f>COUNTIFS($D$24:$D$63,"Baixa")</f>
        <v/>
      </c>
      <c r="E13" s="79">
        <f>IFERROR(D13/$D$12,"-")</f>
        <v/>
      </c>
      <c r="F13" s="155" t="n"/>
      <c r="G13" s="354" t="n"/>
      <c r="L13" s="171" t="n"/>
      <c r="M13" s="172" t="n"/>
      <c r="N13" s="173" t="n"/>
    </row>
    <row r="14" ht="19.5" customHeight="1">
      <c r="C14" s="174" t="inlineStr">
        <is>
          <t>Núm. alumnat extraordinària</t>
        </is>
      </c>
      <c r="D14" s="54">
        <f>COUNTIFS(FINAL!$C$39:$C$78,"&lt;&gt;",FINAL!$D$39:$D$78,"&lt;&gt;Baixa",FINAL!$H$39:$H$78,"Sí")</f>
        <v/>
      </c>
      <c r="E14" s="79">
        <f>IFERROR(D14/$D$12,"-")</f>
        <v/>
      </c>
      <c r="G14" s="340" t="inlineStr">
        <is>
          <t>Núm. alu. promociona (1r) - titula (2n)</t>
        </is>
      </c>
      <c r="L14" s="158">
        <f>FINAL!L33+COUNTIFS($C$24:$C$63,"&lt;&gt;",$D$24:$D$63,"&lt;&gt;Baixa",$G$24:$G$63,"Promociona / Titula")</f>
        <v/>
      </c>
      <c r="M14" s="79">
        <f>IFERROR(L14/$D$12,"-")</f>
        <v/>
      </c>
      <c r="N14" s="154">
        <f>IFERROR(L14/($D$15+FINAL!$D$31),"-")</f>
        <v/>
      </c>
    </row>
    <row r="15" ht="19.5" customHeight="1" thickBot="1">
      <c r="C15" s="256" t="inlineStr">
        <is>
          <t>Núm. alumnat avaluat</t>
        </is>
      </c>
      <c r="D15" s="56" t="n">
        <v>0</v>
      </c>
      <c r="E15" s="79">
        <f>IFERROR(D15/$D$14,"-")</f>
        <v/>
      </c>
      <c r="G15" s="340" t="inlineStr">
        <is>
          <t>Núm. alu. no promociona (1r) - no titula (2n)</t>
        </is>
      </c>
      <c r="L15" s="175">
        <f>D12-L14</f>
        <v/>
      </c>
      <c r="M15" s="157">
        <f>IFERROR(L15/$D$12,"-")</f>
        <v/>
      </c>
      <c r="N15" s="176">
        <f>IFERROR(L15/($D$15+FINAL!$D$31),"-")</f>
        <v/>
      </c>
    </row>
    <row r="16" ht="19.5" customHeight="1">
      <c r="C16" s="256" t="inlineStr">
        <is>
          <t>Núm. alumnat no avaluat</t>
        </is>
      </c>
      <c r="D16" s="56" t="n">
        <v>0</v>
      </c>
      <c r="E16" s="79">
        <f>IFERROR(D16/$D$14,"-")</f>
        <v/>
      </c>
      <c r="G16" s="354" t="n"/>
      <c r="L16" s="200" t="n"/>
      <c r="M16" s="81" t="n"/>
      <c r="N16" s="81" t="n"/>
    </row>
    <row r="17" ht="19.5" customHeight="1" thickBot="1">
      <c r="B17" s="340" t="inlineStr">
        <is>
          <t>Núm. alumnat amb tot aprovat en extraordinària</t>
        </is>
      </c>
      <c r="D17" s="59" t="n">
        <v>0</v>
      </c>
      <c r="E17" s="157">
        <f>IFERROR(D17/$D$14,"-")</f>
        <v/>
      </c>
      <c r="G17" s="340" t="n"/>
    </row>
    <row r="18" ht="19.5" customHeight="1">
      <c r="D18" s="40" t="n"/>
      <c r="E18" s="40" t="n"/>
      <c r="F18" s="40" t="n"/>
    </row>
    <row r="19" ht="19.5" customHeight="1">
      <c r="C19" s="40" t="n"/>
      <c r="D19" s="40" t="n"/>
      <c r="E19" s="40" t="n"/>
      <c r="F19" s="40" t="n"/>
    </row>
    <row r="21" ht="21" customFormat="1" customHeight="1" s="37">
      <c r="B21" s="196" t="inlineStr">
        <is>
          <t>2- Anàlisi individual de l'alumnat</t>
        </is>
      </c>
    </row>
    <row r="23" ht="32.25" customFormat="1" customHeight="1" s="188">
      <c r="B23" s="160" t="inlineStr">
        <is>
          <t>NIA</t>
        </is>
      </c>
      <c r="C23" s="251" t="inlineStr">
        <is>
          <t>Alumne/a</t>
        </is>
      </c>
      <c r="D23" s="251" t="inlineStr">
        <is>
          <t>Estat 3rT</t>
        </is>
      </c>
      <c r="E23" s="355" t="inlineStr">
        <is>
          <t>Supera mòduls pendents</t>
        </is>
      </c>
      <c r="F23" s="387" t="n"/>
      <c r="G23" s="355" t="inlineStr">
        <is>
          <t>Decisió col·legiada</t>
        </is>
      </c>
      <c r="H23" s="387" t="n"/>
      <c r="I23" s="356" t="inlineStr">
        <is>
          <t>Observacions - Mòduls/RA no superats</t>
        </is>
      </c>
      <c r="J23" s="387" t="n"/>
      <c r="K23" s="387" t="n"/>
      <c r="L23" s="387" t="n"/>
      <c r="M23" s="387" t="n"/>
      <c r="N23" s="406" t="n"/>
    </row>
    <row r="24" ht="33" customHeight="1">
      <c r="A24" s="188" t="n">
        <v>1</v>
      </c>
      <c r="B24" s="163">
        <f>IF('0 AVAL'!B36 = "", "", '0 AVAL'!B36)</f>
        <v/>
      </c>
      <c r="C24" s="163">
        <f>IF('0 AVAL'!C36 = "", "", '0 AVAL'!C36)</f>
        <v/>
      </c>
      <c r="D24" s="164" t="n"/>
      <c r="E24" s="348" t="inlineStr">
        <is>
          <t>-</t>
        </is>
      </c>
      <c r="F24" s="428" t="n"/>
      <c r="G24" s="348" t="inlineStr">
        <is>
          <t>-</t>
        </is>
      </c>
      <c r="H24" s="428" t="n"/>
      <c r="I24" s="434" t="n"/>
      <c r="J24" s="389" t="n"/>
      <c r="K24" s="389" t="n"/>
      <c r="L24" s="389" t="n"/>
      <c r="M24" s="389" t="n"/>
      <c r="N24" s="428" t="n"/>
    </row>
    <row r="25" ht="33" customHeight="1">
      <c r="A25" s="188" t="n">
        <v>2</v>
      </c>
      <c r="B25" s="163">
        <f>IF('0 AVAL'!B37 = "", "", '0 AVAL'!B37)</f>
        <v/>
      </c>
      <c r="C25" s="163">
        <f>IF('0 AVAL'!C37 = "", "", '0 AVAL'!C37)</f>
        <v/>
      </c>
      <c r="D25" s="145" t="n"/>
      <c r="E25" s="348" t="inlineStr">
        <is>
          <t>-</t>
        </is>
      </c>
      <c r="F25" s="428" t="n"/>
      <c r="G25" s="348" t="inlineStr">
        <is>
          <t>-</t>
        </is>
      </c>
      <c r="H25" s="428" t="n"/>
      <c r="I25" s="435" t="n"/>
      <c r="J25" s="383" t="n"/>
      <c r="K25" s="383" t="n"/>
      <c r="L25" s="383" t="n"/>
      <c r="M25" s="383" t="n"/>
      <c r="N25" s="424" t="n"/>
    </row>
    <row r="26" ht="33" customHeight="1">
      <c r="A26" s="188" t="n">
        <v>3</v>
      </c>
      <c r="B26" s="163">
        <f>IF('0 AVAL'!B38 = "", "", '0 AVAL'!B38)</f>
        <v/>
      </c>
      <c r="C26" s="163">
        <f>IF('0 AVAL'!C38 = "", "", '0 AVAL'!C38)</f>
        <v/>
      </c>
      <c r="D26" s="145" t="n"/>
      <c r="E26" s="348" t="inlineStr">
        <is>
          <t>-</t>
        </is>
      </c>
      <c r="F26" s="428" t="n"/>
      <c r="G26" s="348" t="inlineStr">
        <is>
          <t>-</t>
        </is>
      </c>
      <c r="H26" s="428" t="n"/>
      <c r="I26" s="435" t="n"/>
      <c r="J26" s="383" t="n"/>
      <c r="K26" s="383" t="n"/>
      <c r="L26" s="383" t="n"/>
      <c r="M26" s="383" t="n"/>
      <c r="N26" s="424" t="n"/>
    </row>
    <row r="27" ht="33" customHeight="1">
      <c r="A27" s="188" t="n">
        <v>4</v>
      </c>
      <c r="B27" s="163">
        <f>IF('0 AVAL'!B39 = "", "", '0 AVAL'!B39)</f>
        <v/>
      </c>
      <c r="C27" s="163">
        <f>IF('0 AVAL'!C39 = "", "", '0 AVAL'!C39)</f>
        <v/>
      </c>
      <c r="D27" s="145" t="n"/>
      <c r="E27" s="348" t="inlineStr">
        <is>
          <t>-</t>
        </is>
      </c>
      <c r="F27" s="428" t="n"/>
      <c r="G27" s="348" t="inlineStr">
        <is>
          <t>-</t>
        </is>
      </c>
      <c r="H27" s="428" t="n"/>
      <c r="I27" s="435" t="n"/>
      <c r="J27" s="383" t="n"/>
      <c r="K27" s="383" t="n"/>
      <c r="L27" s="383" t="n"/>
      <c r="M27" s="383" t="n"/>
      <c r="N27" s="424" t="n"/>
    </row>
    <row r="28" ht="33" customHeight="1">
      <c r="A28" s="188" t="n">
        <v>5</v>
      </c>
      <c r="B28" s="163">
        <f>IF('0 AVAL'!B40 = "", "", '0 AVAL'!B40)</f>
        <v/>
      </c>
      <c r="C28" s="163">
        <f>IF('0 AVAL'!C40 = "", "", '0 AVAL'!C40)</f>
        <v/>
      </c>
      <c r="D28" s="145" t="n"/>
      <c r="E28" s="348" t="inlineStr">
        <is>
          <t>-</t>
        </is>
      </c>
      <c r="F28" s="428" t="n"/>
      <c r="G28" s="348" t="inlineStr">
        <is>
          <t>-</t>
        </is>
      </c>
      <c r="H28" s="428" t="n"/>
      <c r="I28" s="435" t="n"/>
      <c r="J28" s="383" t="n"/>
      <c r="K28" s="383" t="n"/>
      <c r="L28" s="383" t="n"/>
      <c r="M28" s="383" t="n"/>
      <c r="N28" s="424" t="n"/>
    </row>
    <row r="29" ht="33" customHeight="1">
      <c r="A29" s="188" t="n">
        <v>6</v>
      </c>
      <c r="B29" s="163">
        <f>IF('0 AVAL'!B41 = "", "", '0 AVAL'!B41)</f>
        <v/>
      </c>
      <c r="C29" s="163">
        <f>IF('0 AVAL'!C41 = "", "", '0 AVAL'!C41)</f>
        <v/>
      </c>
      <c r="D29" s="145" t="n"/>
      <c r="E29" s="348" t="inlineStr">
        <is>
          <t>-</t>
        </is>
      </c>
      <c r="F29" s="428" t="n"/>
      <c r="G29" s="348" t="inlineStr">
        <is>
          <t>-</t>
        </is>
      </c>
      <c r="H29" s="428" t="n"/>
      <c r="I29" s="435" t="n"/>
      <c r="J29" s="383" t="n"/>
      <c r="K29" s="383" t="n"/>
      <c r="L29" s="383" t="n"/>
      <c r="M29" s="383" t="n"/>
      <c r="N29" s="424" t="n"/>
    </row>
    <row r="30" ht="33" customHeight="1">
      <c r="A30" s="188" t="n">
        <v>7</v>
      </c>
      <c r="B30" s="163">
        <f>IF('0 AVAL'!B42 = "", "", '0 AVAL'!B42)</f>
        <v/>
      </c>
      <c r="C30" s="163">
        <f>IF('0 AVAL'!C42 = "", "", '0 AVAL'!C42)</f>
        <v/>
      </c>
      <c r="D30" s="145" t="n"/>
      <c r="E30" s="348" t="inlineStr">
        <is>
          <t>-</t>
        </is>
      </c>
      <c r="F30" s="428" t="n"/>
      <c r="G30" s="348" t="inlineStr">
        <is>
          <t>-</t>
        </is>
      </c>
      <c r="H30" s="428" t="n"/>
      <c r="I30" s="435" t="n"/>
      <c r="J30" s="383" t="n"/>
      <c r="K30" s="383" t="n"/>
      <c r="L30" s="383" t="n"/>
      <c r="M30" s="383" t="n"/>
      <c r="N30" s="424" t="n"/>
    </row>
    <row r="31" ht="33" customHeight="1">
      <c r="A31" s="188" t="n">
        <v>8</v>
      </c>
      <c r="B31" s="163">
        <f>IF('0 AVAL'!B43 = "", "", '0 AVAL'!B43)</f>
        <v/>
      </c>
      <c r="C31" s="163">
        <f>IF('0 AVAL'!C43 = "", "", '0 AVAL'!C43)</f>
        <v/>
      </c>
      <c r="D31" s="145" t="n"/>
      <c r="E31" s="348" t="inlineStr">
        <is>
          <t>-</t>
        </is>
      </c>
      <c r="F31" s="428" t="n"/>
      <c r="G31" s="348" t="inlineStr">
        <is>
          <t>-</t>
        </is>
      </c>
      <c r="H31" s="428" t="n"/>
      <c r="I31" s="435" t="n"/>
      <c r="J31" s="383" t="n"/>
      <c r="K31" s="383" t="n"/>
      <c r="L31" s="383" t="n"/>
      <c r="M31" s="383" t="n"/>
      <c r="N31" s="424" t="n"/>
    </row>
    <row r="32" ht="33" customHeight="1">
      <c r="A32" s="188" t="n">
        <v>9</v>
      </c>
      <c r="B32" s="163">
        <f>IF('0 AVAL'!B44 = "", "", '0 AVAL'!B44)</f>
        <v/>
      </c>
      <c r="C32" s="163">
        <f>IF('0 AVAL'!C44 = "", "", '0 AVAL'!C44)</f>
        <v/>
      </c>
      <c r="D32" s="145" t="n"/>
      <c r="E32" s="348" t="inlineStr">
        <is>
          <t>-</t>
        </is>
      </c>
      <c r="F32" s="428" t="n"/>
      <c r="G32" s="348" t="inlineStr">
        <is>
          <t>-</t>
        </is>
      </c>
      <c r="H32" s="428" t="n"/>
      <c r="I32" s="435" t="n"/>
      <c r="J32" s="383" t="n"/>
      <c r="K32" s="383" t="n"/>
      <c r="L32" s="383" t="n"/>
      <c r="M32" s="383" t="n"/>
      <c r="N32" s="424" t="n"/>
    </row>
    <row r="33" ht="33" customHeight="1">
      <c r="A33" s="188" t="n">
        <v>10</v>
      </c>
      <c r="B33" s="163">
        <f>IF('0 AVAL'!B45 = "", "", '0 AVAL'!B45)</f>
        <v/>
      </c>
      <c r="C33" s="163">
        <f>IF('0 AVAL'!C45 = "", "", '0 AVAL'!C45)</f>
        <v/>
      </c>
      <c r="D33" s="145" t="n"/>
      <c r="E33" s="348" t="inlineStr">
        <is>
          <t>-</t>
        </is>
      </c>
      <c r="F33" s="428" t="n"/>
      <c r="G33" s="348" t="inlineStr">
        <is>
          <t>-</t>
        </is>
      </c>
      <c r="H33" s="428" t="n"/>
      <c r="I33" s="435" t="n"/>
      <c r="J33" s="383" t="n"/>
      <c r="K33" s="383" t="n"/>
      <c r="L33" s="383" t="n"/>
      <c r="M33" s="383" t="n"/>
      <c r="N33" s="424" t="n"/>
    </row>
    <row r="34" ht="33" customHeight="1">
      <c r="A34" s="188" t="n">
        <v>11</v>
      </c>
      <c r="B34" s="163">
        <f>IF('0 AVAL'!B46 = "", "", '0 AVAL'!B46)</f>
        <v/>
      </c>
      <c r="C34" s="163">
        <f>IF('0 AVAL'!C46 = "", "", '0 AVAL'!C46)</f>
        <v/>
      </c>
      <c r="D34" s="145" t="n"/>
      <c r="E34" s="348" t="inlineStr">
        <is>
          <t>-</t>
        </is>
      </c>
      <c r="F34" s="428" t="n"/>
      <c r="G34" s="348" t="inlineStr">
        <is>
          <t>-</t>
        </is>
      </c>
      <c r="H34" s="428" t="n"/>
      <c r="I34" s="435" t="n"/>
      <c r="J34" s="383" t="n"/>
      <c r="K34" s="383" t="n"/>
      <c r="L34" s="383" t="n"/>
      <c r="M34" s="383" t="n"/>
      <c r="N34" s="424" t="n"/>
    </row>
    <row r="35" ht="33" customHeight="1">
      <c r="A35" s="188" t="n">
        <v>12</v>
      </c>
      <c r="B35" s="163">
        <f>IF('0 AVAL'!B47 = "", "", '0 AVAL'!B47)</f>
        <v/>
      </c>
      <c r="C35" s="163">
        <f>IF('0 AVAL'!C47 = "", "", '0 AVAL'!C47)</f>
        <v/>
      </c>
      <c r="D35" s="145" t="n"/>
      <c r="E35" s="348" t="inlineStr">
        <is>
          <t>-</t>
        </is>
      </c>
      <c r="F35" s="428" t="n"/>
      <c r="G35" s="348" t="inlineStr">
        <is>
          <t>-</t>
        </is>
      </c>
      <c r="H35" s="428" t="n"/>
      <c r="I35" s="435" t="n"/>
      <c r="J35" s="383" t="n"/>
      <c r="K35" s="383" t="n"/>
      <c r="L35" s="383" t="n"/>
      <c r="M35" s="383" t="n"/>
      <c r="N35" s="424" t="n"/>
    </row>
    <row r="36" ht="33" customHeight="1">
      <c r="A36" s="188" t="n">
        <v>13</v>
      </c>
      <c r="B36" s="163">
        <f>IF('0 AVAL'!B48 = "", "", '0 AVAL'!B48)</f>
        <v/>
      </c>
      <c r="C36" s="163">
        <f>IF('0 AVAL'!C48 = "", "", '0 AVAL'!C48)</f>
        <v/>
      </c>
      <c r="D36" s="145" t="n"/>
      <c r="E36" s="348" t="inlineStr">
        <is>
          <t>-</t>
        </is>
      </c>
      <c r="F36" s="428" t="n"/>
      <c r="G36" s="348" t="inlineStr">
        <is>
          <t>-</t>
        </is>
      </c>
      <c r="H36" s="428" t="n"/>
      <c r="I36" s="435" t="n"/>
      <c r="J36" s="383" t="n"/>
      <c r="K36" s="383" t="n"/>
      <c r="L36" s="383" t="n"/>
      <c r="M36" s="383" t="n"/>
      <c r="N36" s="424" t="n"/>
    </row>
    <row r="37" ht="33" customHeight="1">
      <c r="A37" s="188" t="n">
        <v>14</v>
      </c>
      <c r="B37" s="163">
        <f>IF('0 AVAL'!B49 = "", "", '0 AVAL'!B49)</f>
        <v/>
      </c>
      <c r="C37" s="163">
        <f>IF('0 AVAL'!C49 = "", "", '0 AVAL'!C49)</f>
        <v/>
      </c>
      <c r="D37" s="145" t="n"/>
      <c r="E37" s="348" t="inlineStr">
        <is>
          <t>-</t>
        </is>
      </c>
      <c r="F37" s="428" t="n"/>
      <c r="G37" s="348" t="inlineStr">
        <is>
          <t>-</t>
        </is>
      </c>
      <c r="H37" s="428" t="n"/>
      <c r="I37" s="435" t="n"/>
      <c r="J37" s="383" t="n"/>
      <c r="K37" s="383" t="n"/>
      <c r="L37" s="383" t="n"/>
      <c r="M37" s="383" t="n"/>
      <c r="N37" s="424" t="n"/>
    </row>
    <row r="38" ht="33" customHeight="1">
      <c r="A38" s="188" t="n">
        <v>15</v>
      </c>
      <c r="B38" s="163">
        <f>IF('0 AVAL'!B50 = "", "", '0 AVAL'!B50)</f>
        <v/>
      </c>
      <c r="C38" s="163">
        <f>IF('0 AVAL'!C50 = "", "", '0 AVAL'!C50)</f>
        <v/>
      </c>
      <c r="D38" s="145" t="n"/>
      <c r="E38" s="348" t="inlineStr">
        <is>
          <t>-</t>
        </is>
      </c>
      <c r="F38" s="428" t="n"/>
      <c r="G38" s="348" t="inlineStr">
        <is>
          <t>-</t>
        </is>
      </c>
      <c r="H38" s="428" t="n"/>
      <c r="I38" s="435" t="n"/>
      <c r="J38" s="383" t="n"/>
      <c r="K38" s="383" t="n"/>
      <c r="L38" s="383" t="n"/>
      <c r="M38" s="383" t="n"/>
      <c r="N38" s="424" t="n"/>
    </row>
    <row r="39" ht="33" customHeight="1">
      <c r="A39" s="188" t="n">
        <v>16</v>
      </c>
      <c r="B39" s="163">
        <f>IF('0 AVAL'!B51 = "", "", '0 AVAL'!B51)</f>
        <v/>
      </c>
      <c r="C39" s="163">
        <f>IF('0 AVAL'!C51 = "", "", '0 AVAL'!C51)</f>
        <v/>
      </c>
      <c r="D39" s="145" t="n"/>
      <c r="E39" s="348" t="inlineStr">
        <is>
          <t>-</t>
        </is>
      </c>
      <c r="F39" s="428" t="n"/>
      <c r="G39" s="348" t="inlineStr">
        <is>
          <t>-</t>
        </is>
      </c>
      <c r="H39" s="428" t="n"/>
      <c r="I39" s="435" t="n"/>
      <c r="J39" s="383" t="n"/>
      <c r="K39" s="383" t="n"/>
      <c r="L39" s="383" t="n"/>
      <c r="M39" s="383" t="n"/>
      <c r="N39" s="424" t="n"/>
    </row>
    <row r="40" ht="33" customHeight="1">
      <c r="A40" s="188" t="n">
        <v>17</v>
      </c>
      <c r="B40" s="163">
        <f>IF('0 AVAL'!B52 = "", "", '0 AVAL'!B52)</f>
        <v/>
      </c>
      <c r="C40" s="163">
        <f>IF('0 AVAL'!C52 = "", "", '0 AVAL'!C52)</f>
        <v/>
      </c>
      <c r="D40" s="145" t="n"/>
      <c r="E40" s="348" t="inlineStr">
        <is>
          <t>-</t>
        </is>
      </c>
      <c r="F40" s="428" t="n"/>
      <c r="G40" s="348" t="inlineStr">
        <is>
          <t>-</t>
        </is>
      </c>
      <c r="H40" s="428" t="n"/>
      <c r="I40" s="435" t="n"/>
      <c r="J40" s="383" t="n"/>
      <c r="K40" s="383" t="n"/>
      <c r="L40" s="383" t="n"/>
      <c r="M40" s="383" t="n"/>
      <c r="N40" s="424" t="n"/>
    </row>
    <row r="41" ht="33" customHeight="1">
      <c r="A41" s="188" t="n">
        <v>18</v>
      </c>
      <c r="B41" s="163">
        <f>IF('0 AVAL'!B53 = "", "", '0 AVAL'!B53)</f>
        <v/>
      </c>
      <c r="C41" s="163">
        <f>IF('0 AVAL'!C53 = "", "", '0 AVAL'!C53)</f>
        <v/>
      </c>
      <c r="D41" s="145" t="n"/>
      <c r="E41" s="348" t="inlineStr">
        <is>
          <t>-</t>
        </is>
      </c>
      <c r="F41" s="428" t="n"/>
      <c r="G41" s="348" t="inlineStr">
        <is>
          <t>-</t>
        </is>
      </c>
      <c r="H41" s="428" t="n"/>
      <c r="I41" s="435" t="n"/>
      <c r="J41" s="383" t="n"/>
      <c r="K41" s="383" t="n"/>
      <c r="L41" s="383" t="n"/>
      <c r="M41" s="383" t="n"/>
      <c r="N41" s="424" t="n"/>
    </row>
    <row r="42" ht="33" customHeight="1">
      <c r="A42" s="188" t="n">
        <v>19</v>
      </c>
      <c r="B42" s="163">
        <f>IF('0 AVAL'!B54 = "", "", '0 AVAL'!B54)</f>
        <v/>
      </c>
      <c r="C42" s="163">
        <f>IF('0 AVAL'!C54 = "", "", '0 AVAL'!C54)</f>
        <v/>
      </c>
      <c r="D42" s="145" t="n"/>
      <c r="E42" s="348" t="inlineStr">
        <is>
          <t>-</t>
        </is>
      </c>
      <c r="F42" s="428" t="n"/>
      <c r="G42" s="348" t="inlineStr">
        <is>
          <t>-</t>
        </is>
      </c>
      <c r="H42" s="428" t="n"/>
      <c r="I42" s="435" t="n"/>
      <c r="J42" s="383" t="n"/>
      <c r="K42" s="383" t="n"/>
      <c r="L42" s="383" t="n"/>
      <c r="M42" s="383" t="n"/>
      <c r="N42" s="424" t="n"/>
    </row>
    <row r="43" ht="33" customHeight="1">
      <c r="A43" s="188" t="n">
        <v>20</v>
      </c>
      <c r="B43" s="163">
        <f>IF('0 AVAL'!B55 = "", "", '0 AVAL'!B55)</f>
        <v/>
      </c>
      <c r="C43" s="163">
        <f>IF('0 AVAL'!C55 = "", "", '0 AVAL'!C55)</f>
        <v/>
      </c>
      <c r="D43" s="145" t="n"/>
      <c r="E43" s="348" t="inlineStr">
        <is>
          <t>-</t>
        </is>
      </c>
      <c r="F43" s="428" t="n"/>
      <c r="G43" s="348" t="inlineStr">
        <is>
          <t>-</t>
        </is>
      </c>
      <c r="H43" s="428" t="n"/>
      <c r="I43" s="435" t="n"/>
      <c r="J43" s="383" t="n"/>
      <c r="K43" s="383" t="n"/>
      <c r="L43" s="383" t="n"/>
      <c r="M43" s="383" t="n"/>
      <c r="N43" s="424" t="n"/>
    </row>
    <row r="44" ht="33" customHeight="1">
      <c r="A44" s="188" t="n">
        <v>21</v>
      </c>
      <c r="B44" s="163">
        <f>IF('0 AVAL'!B56 = "", "", '0 AVAL'!B56)</f>
        <v/>
      </c>
      <c r="C44" s="163">
        <f>IF('0 AVAL'!C56 = "", "", '0 AVAL'!C56)</f>
        <v/>
      </c>
      <c r="D44" s="145" t="n"/>
      <c r="E44" s="348" t="inlineStr">
        <is>
          <t>-</t>
        </is>
      </c>
      <c r="F44" s="428" t="n"/>
      <c r="G44" s="348" t="inlineStr">
        <is>
          <t>-</t>
        </is>
      </c>
      <c r="H44" s="428" t="n"/>
      <c r="I44" s="435" t="n"/>
      <c r="J44" s="383" t="n"/>
      <c r="K44" s="383" t="n"/>
      <c r="L44" s="383" t="n"/>
      <c r="M44" s="383" t="n"/>
      <c r="N44" s="424" t="n"/>
    </row>
    <row r="45" ht="33" customHeight="1">
      <c r="A45" s="188" t="n">
        <v>22</v>
      </c>
      <c r="B45" s="163">
        <f>IF('0 AVAL'!B57 = "", "", '0 AVAL'!B57)</f>
        <v/>
      </c>
      <c r="C45" s="163">
        <f>IF('0 AVAL'!C57 = "", "", '0 AVAL'!C57)</f>
        <v/>
      </c>
      <c r="D45" s="145" t="n"/>
      <c r="E45" s="348" t="inlineStr">
        <is>
          <t>-</t>
        </is>
      </c>
      <c r="F45" s="428" t="n"/>
      <c r="G45" s="348" t="inlineStr">
        <is>
          <t>-</t>
        </is>
      </c>
      <c r="H45" s="428" t="n"/>
      <c r="I45" s="435" t="n"/>
      <c r="J45" s="383" t="n"/>
      <c r="K45" s="383" t="n"/>
      <c r="L45" s="383" t="n"/>
      <c r="M45" s="383" t="n"/>
      <c r="N45" s="424" t="n"/>
    </row>
    <row r="46" ht="33" customHeight="1">
      <c r="A46" s="188" t="n">
        <v>23</v>
      </c>
      <c r="B46" s="163">
        <f>IF('0 AVAL'!B58 = "", "", '0 AVAL'!B58)</f>
        <v/>
      </c>
      <c r="C46" s="163">
        <f>IF('0 AVAL'!C58 = "", "", '0 AVAL'!C58)</f>
        <v/>
      </c>
      <c r="D46" s="145" t="n"/>
      <c r="E46" s="348" t="inlineStr">
        <is>
          <t>-</t>
        </is>
      </c>
      <c r="F46" s="428" t="n"/>
      <c r="G46" s="348" t="inlineStr">
        <is>
          <t>-</t>
        </is>
      </c>
      <c r="H46" s="428" t="n"/>
      <c r="I46" s="435" t="n"/>
      <c r="J46" s="383" t="n"/>
      <c r="K46" s="383" t="n"/>
      <c r="L46" s="383" t="n"/>
      <c r="M46" s="383" t="n"/>
      <c r="N46" s="424" t="n"/>
    </row>
    <row r="47" ht="33" customHeight="1">
      <c r="A47" s="188" t="n">
        <v>24</v>
      </c>
      <c r="B47" s="163">
        <f>IF('0 AVAL'!B59 = "", "", '0 AVAL'!B59)</f>
        <v/>
      </c>
      <c r="C47" s="163">
        <f>IF('0 AVAL'!C59 = "", "", '0 AVAL'!C59)</f>
        <v/>
      </c>
      <c r="D47" s="145" t="n"/>
      <c r="E47" s="348" t="inlineStr">
        <is>
          <t>-</t>
        </is>
      </c>
      <c r="F47" s="428" t="n"/>
      <c r="G47" s="348" t="inlineStr">
        <is>
          <t>-</t>
        </is>
      </c>
      <c r="H47" s="428" t="n"/>
      <c r="I47" s="435" t="n"/>
      <c r="J47" s="383" t="n"/>
      <c r="K47" s="383" t="n"/>
      <c r="L47" s="383" t="n"/>
      <c r="M47" s="383" t="n"/>
      <c r="N47" s="424" t="n"/>
    </row>
    <row r="48" ht="33" customHeight="1">
      <c r="A48" s="188" t="n">
        <v>25</v>
      </c>
      <c r="B48" s="163">
        <f>IF('0 AVAL'!B60 = "", "", '0 AVAL'!B60)</f>
        <v/>
      </c>
      <c r="C48" s="163">
        <f>IF('0 AVAL'!C60 = "", "", '0 AVAL'!C60)</f>
        <v/>
      </c>
      <c r="D48" s="145" t="n"/>
      <c r="E48" s="348" t="inlineStr">
        <is>
          <t>-</t>
        </is>
      </c>
      <c r="F48" s="428" t="n"/>
      <c r="G48" s="348" t="inlineStr">
        <is>
          <t>-</t>
        </is>
      </c>
      <c r="H48" s="428" t="n"/>
      <c r="I48" s="435" t="n"/>
      <c r="J48" s="383" t="n"/>
      <c r="K48" s="383" t="n"/>
      <c r="L48" s="383" t="n"/>
      <c r="M48" s="383" t="n"/>
      <c r="N48" s="424" t="n"/>
    </row>
    <row r="49" ht="33" customHeight="1">
      <c r="A49" s="188" t="n">
        <v>26</v>
      </c>
      <c r="B49" s="163">
        <f>IF('0 AVAL'!B61 = "", "", '0 AVAL'!B61)</f>
        <v/>
      </c>
      <c r="C49" s="163">
        <f>IF('0 AVAL'!C61 = "", "", '0 AVAL'!C61)</f>
        <v/>
      </c>
      <c r="D49" s="145" t="n"/>
      <c r="E49" s="348" t="inlineStr">
        <is>
          <t>-</t>
        </is>
      </c>
      <c r="F49" s="428" t="n"/>
      <c r="G49" s="348" t="inlineStr">
        <is>
          <t>-</t>
        </is>
      </c>
      <c r="H49" s="428" t="n"/>
      <c r="I49" s="435" t="n"/>
      <c r="J49" s="383" t="n"/>
      <c r="K49" s="383" t="n"/>
      <c r="L49" s="383" t="n"/>
      <c r="M49" s="383" t="n"/>
      <c r="N49" s="424" t="n"/>
    </row>
    <row r="50" ht="33" customHeight="1">
      <c r="A50" s="188" t="n">
        <v>27</v>
      </c>
      <c r="B50" s="163">
        <f>IF('0 AVAL'!B62 = "", "", '0 AVAL'!B62)</f>
        <v/>
      </c>
      <c r="C50" s="163">
        <f>IF('0 AVAL'!C62 = "", "", '0 AVAL'!C62)</f>
        <v/>
      </c>
      <c r="D50" s="145" t="n"/>
      <c r="E50" s="348" t="inlineStr">
        <is>
          <t>-</t>
        </is>
      </c>
      <c r="F50" s="428" t="n"/>
      <c r="G50" s="348" t="inlineStr">
        <is>
          <t>-</t>
        </is>
      </c>
      <c r="H50" s="428" t="n"/>
      <c r="I50" s="435" t="n"/>
      <c r="J50" s="383" t="n"/>
      <c r="K50" s="383" t="n"/>
      <c r="L50" s="383" t="n"/>
      <c r="M50" s="383" t="n"/>
      <c r="N50" s="424" t="n"/>
    </row>
    <row r="51" ht="33" customHeight="1">
      <c r="A51" s="188" t="n">
        <v>28</v>
      </c>
      <c r="B51" s="163">
        <f>IF('0 AVAL'!B63 = "", "", '0 AVAL'!B63)</f>
        <v/>
      </c>
      <c r="C51" s="163">
        <f>IF('0 AVAL'!C63 = "", "", '0 AVAL'!C63)</f>
        <v/>
      </c>
      <c r="D51" s="145" t="n"/>
      <c r="E51" s="348" t="inlineStr">
        <is>
          <t>-</t>
        </is>
      </c>
      <c r="F51" s="428" t="n"/>
      <c r="G51" s="348" t="inlineStr">
        <is>
          <t>-</t>
        </is>
      </c>
      <c r="H51" s="428" t="n"/>
      <c r="I51" s="435" t="n"/>
      <c r="J51" s="383" t="n"/>
      <c r="K51" s="383" t="n"/>
      <c r="L51" s="383" t="n"/>
      <c r="M51" s="383" t="n"/>
      <c r="N51" s="424" t="n"/>
    </row>
    <row r="52" ht="33" customHeight="1">
      <c r="A52" s="188" t="n">
        <v>29</v>
      </c>
      <c r="B52" s="163">
        <f>IF('0 AVAL'!B64 = "", "", '0 AVAL'!B64)</f>
        <v/>
      </c>
      <c r="C52" s="163">
        <f>IF('0 AVAL'!C64 = "", "", '0 AVAL'!C64)</f>
        <v/>
      </c>
      <c r="D52" s="145" t="n"/>
      <c r="E52" s="348" t="inlineStr">
        <is>
          <t>-</t>
        </is>
      </c>
      <c r="F52" s="428" t="n"/>
      <c r="G52" s="348" t="inlineStr">
        <is>
          <t>-</t>
        </is>
      </c>
      <c r="H52" s="428" t="n"/>
      <c r="I52" s="435" t="n"/>
      <c r="J52" s="383" t="n"/>
      <c r="K52" s="383" t="n"/>
      <c r="L52" s="383" t="n"/>
      <c r="M52" s="383" t="n"/>
      <c r="N52" s="424" t="n"/>
    </row>
    <row r="53" ht="33" customHeight="1">
      <c r="A53" s="188" t="n">
        <v>30</v>
      </c>
      <c r="B53" s="163">
        <f>IF('0 AVAL'!B65 = "", "", '0 AVAL'!B65)</f>
        <v/>
      </c>
      <c r="C53" s="163">
        <f>IF('0 AVAL'!C65 = "", "", '0 AVAL'!C65)</f>
        <v/>
      </c>
      <c r="D53" s="145" t="n"/>
      <c r="E53" s="348" t="inlineStr">
        <is>
          <t>-</t>
        </is>
      </c>
      <c r="F53" s="428" t="n"/>
      <c r="G53" s="348" t="inlineStr">
        <is>
          <t>-</t>
        </is>
      </c>
      <c r="H53" s="428" t="n"/>
      <c r="I53" s="435" t="n"/>
      <c r="J53" s="383" t="n"/>
      <c r="K53" s="383" t="n"/>
      <c r="L53" s="383" t="n"/>
      <c r="M53" s="383" t="n"/>
      <c r="N53" s="424" t="n"/>
    </row>
    <row r="54" ht="33" customHeight="1">
      <c r="A54" s="188" t="n">
        <v>31</v>
      </c>
      <c r="B54" s="163">
        <f>IF('0 AVAL'!B66 = "", "", '0 AVAL'!B66)</f>
        <v/>
      </c>
      <c r="C54" s="163">
        <f>IF('0 AVAL'!C66 = "", "", '0 AVAL'!C66)</f>
        <v/>
      </c>
      <c r="D54" s="145" t="n"/>
      <c r="E54" s="348" t="inlineStr">
        <is>
          <t>-</t>
        </is>
      </c>
      <c r="F54" s="428" t="n"/>
      <c r="G54" s="348" t="inlineStr">
        <is>
          <t>-</t>
        </is>
      </c>
      <c r="H54" s="428" t="n"/>
      <c r="I54" s="435" t="n"/>
      <c r="J54" s="383" t="n"/>
      <c r="K54" s="383" t="n"/>
      <c r="L54" s="383" t="n"/>
      <c r="M54" s="383" t="n"/>
      <c r="N54" s="424" t="n"/>
    </row>
    <row r="55" ht="33" customHeight="1">
      <c r="A55" s="188" t="n">
        <v>32</v>
      </c>
      <c r="B55" s="163">
        <f>IF('0 AVAL'!B67 = "", "", '0 AVAL'!B67)</f>
        <v/>
      </c>
      <c r="C55" s="163">
        <f>IF('0 AVAL'!C67 = "", "", '0 AVAL'!C67)</f>
        <v/>
      </c>
      <c r="D55" s="145" t="n"/>
      <c r="E55" s="348" t="inlineStr">
        <is>
          <t>-</t>
        </is>
      </c>
      <c r="F55" s="428" t="n"/>
      <c r="G55" s="348" t="inlineStr">
        <is>
          <t>-</t>
        </is>
      </c>
      <c r="H55" s="428" t="n"/>
      <c r="I55" s="435" t="n"/>
      <c r="J55" s="383" t="n"/>
      <c r="K55" s="383" t="n"/>
      <c r="L55" s="383" t="n"/>
      <c r="M55" s="383" t="n"/>
      <c r="N55" s="424" t="n"/>
    </row>
    <row r="56" ht="33" customHeight="1">
      <c r="A56" s="188" t="n">
        <v>33</v>
      </c>
      <c r="B56" s="163">
        <f>IF('0 AVAL'!B68 = "", "", '0 AVAL'!B68)</f>
        <v/>
      </c>
      <c r="C56" s="163">
        <f>IF('0 AVAL'!C68 = "", "", '0 AVAL'!C68)</f>
        <v/>
      </c>
      <c r="D56" s="145" t="n"/>
      <c r="E56" s="348" t="inlineStr">
        <is>
          <t>-</t>
        </is>
      </c>
      <c r="F56" s="428" t="n"/>
      <c r="G56" s="348" t="inlineStr">
        <is>
          <t>-</t>
        </is>
      </c>
      <c r="H56" s="428" t="n"/>
      <c r="I56" s="435" t="n"/>
      <c r="J56" s="383" t="n"/>
      <c r="K56" s="383" t="n"/>
      <c r="L56" s="383" t="n"/>
      <c r="M56" s="383" t="n"/>
      <c r="N56" s="424" t="n"/>
    </row>
    <row r="57" ht="33" customHeight="1">
      <c r="A57" s="188" t="n">
        <v>34</v>
      </c>
      <c r="B57" s="163">
        <f>IF('0 AVAL'!B69 = "", "", '0 AVAL'!B69)</f>
        <v/>
      </c>
      <c r="C57" s="163">
        <f>IF('0 AVAL'!C69 = "", "", '0 AVAL'!C69)</f>
        <v/>
      </c>
      <c r="D57" s="145" t="n"/>
      <c r="E57" s="348" t="inlineStr">
        <is>
          <t>-</t>
        </is>
      </c>
      <c r="F57" s="428" t="n"/>
      <c r="G57" s="348" t="inlineStr">
        <is>
          <t>-</t>
        </is>
      </c>
      <c r="H57" s="428" t="n"/>
      <c r="I57" s="435" t="n"/>
      <c r="J57" s="383" t="n"/>
      <c r="K57" s="383" t="n"/>
      <c r="L57" s="383" t="n"/>
      <c r="M57" s="383" t="n"/>
      <c r="N57" s="424" t="n"/>
    </row>
    <row r="58" ht="33" customHeight="1">
      <c r="A58" s="188" t="n">
        <v>35</v>
      </c>
      <c r="B58" s="163">
        <f>IF('0 AVAL'!B70 = "", "", '0 AVAL'!B70)</f>
        <v/>
      </c>
      <c r="C58" s="163">
        <f>IF('0 AVAL'!C70 = "", "", '0 AVAL'!C70)</f>
        <v/>
      </c>
      <c r="D58" s="145" t="n"/>
      <c r="E58" s="348" t="inlineStr">
        <is>
          <t>-</t>
        </is>
      </c>
      <c r="F58" s="428" t="n"/>
      <c r="G58" s="348" t="inlineStr">
        <is>
          <t>-</t>
        </is>
      </c>
      <c r="H58" s="428" t="n"/>
      <c r="I58" s="435" t="n"/>
      <c r="J58" s="383" t="n"/>
      <c r="K58" s="383" t="n"/>
      <c r="L58" s="383" t="n"/>
      <c r="M58" s="383" t="n"/>
      <c r="N58" s="424" t="n"/>
    </row>
    <row r="59" ht="33" customHeight="1">
      <c r="A59" s="188" t="n">
        <v>36</v>
      </c>
      <c r="B59" s="163">
        <f>IF('0 AVAL'!B71 = "", "", '0 AVAL'!B71)</f>
        <v/>
      </c>
      <c r="C59" s="163">
        <f>IF('0 AVAL'!C71 = "", "", '0 AVAL'!C71)</f>
        <v/>
      </c>
      <c r="D59" s="145" t="n"/>
      <c r="E59" s="348" t="inlineStr">
        <is>
          <t>-</t>
        </is>
      </c>
      <c r="F59" s="428" t="n"/>
      <c r="G59" s="348" t="inlineStr">
        <is>
          <t>-</t>
        </is>
      </c>
      <c r="H59" s="428" t="n"/>
      <c r="I59" s="435" t="n"/>
      <c r="J59" s="383" t="n"/>
      <c r="K59" s="383" t="n"/>
      <c r="L59" s="383" t="n"/>
      <c r="M59" s="383" t="n"/>
      <c r="N59" s="424" t="n"/>
    </row>
    <row r="60" ht="33" customHeight="1">
      <c r="A60" s="188" t="n">
        <v>37</v>
      </c>
      <c r="B60" s="163">
        <f>IF('0 AVAL'!B72 = "", "", '0 AVAL'!B72)</f>
        <v/>
      </c>
      <c r="C60" s="163">
        <f>IF('0 AVAL'!C72 = "", "", '0 AVAL'!C72)</f>
        <v/>
      </c>
      <c r="D60" s="145" t="n"/>
      <c r="E60" s="348" t="inlineStr">
        <is>
          <t>-</t>
        </is>
      </c>
      <c r="F60" s="428" t="n"/>
      <c r="G60" s="348" t="inlineStr">
        <is>
          <t>-</t>
        </is>
      </c>
      <c r="H60" s="428" t="n"/>
      <c r="I60" s="435" t="n"/>
      <c r="J60" s="383" t="n"/>
      <c r="K60" s="383" t="n"/>
      <c r="L60" s="383" t="n"/>
      <c r="M60" s="383" t="n"/>
      <c r="N60" s="424" t="n"/>
    </row>
    <row r="61" ht="33" customHeight="1">
      <c r="A61" s="188" t="n">
        <v>38</v>
      </c>
      <c r="B61" s="163">
        <f>IF('0 AVAL'!B73 = "", "", '0 AVAL'!B73)</f>
        <v/>
      </c>
      <c r="C61" s="163">
        <f>IF('0 AVAL'!C73 = "", "", '0 AVAL'!C73)</f>
        <v/>
      </c>
      <c r="D61" s="145" t="n"/>
      <c r="E61" s="348" t="inlineStr">
        <is>
          <t>-</t>
        </is>
      </c>
      <c r="F61" s="428" t="n"/>
      <c r="G61" s="348" t="inlineStr">
        <is>
          <t>-</t>
        </is>
      </c>
      <c r="H61" s="428" t="n"/>
      <c r="I61" s="435" t="n"/>
      <c r="J61" s="383" t="n"/>
      <c r="K61" s="383" t="n"/>
      <c r="L61" s="383" t="n"/>
      <c r="M61" s="383" t="n"/>
      <c r="N61" s="424" t="n"/>
    </row>
    <row r="62" ht="33" customHeight="1">
      <c r="A62" s="188" t="n">
        <v>39</v>
      </c>
      <c r="B62" s="163">
        <f>IF('0 AVAL'!B74 = "", "", '0 AVAL'!B74)</f>
        <v/>
      </c>
      <c r="C62" s="163">
        <f>IF('0 AVAL'!C74 = "", "", '0 AVAL'!C74)</f>
        <v/>
      </c>
      <c r="D62" s="145" t="n"/>
      <c r="E62" s="348" t="inlineStr">
        <is>
          <t>-</t>
        </is>
      </c>
      <c r="F62" s="428" t="n"/>
      <c r="G62" s="348" t="inlineStr">
        <is>
          <t>-</t>
        </is>
      </c>
      <c r="H62" s="428" t="n"/>
      <c r="I62" s="435" t="n"/>
      <c r="J62" s="383" t="n"/>
      <c r="K62" s="383" t="n"/>
      <c r="L62" s="383" t="n"/>
      <c r="M62" s="383" t="n"/>
      <c r="N62" s="424" t="n"/>
    </row>
    <row r="63" ht="33" customHeight="1">
      <c r="A63" s="188" t="n">
        <v>40</v>
      </c>
      <c r="B63" s="163">
        <f>IF('0 AVAL'!B75 = "", "", '0 AVAL'!B75)</f>
        <v/>
      </c>
      <c r="C63" s="163">
        <f>IF('0 AVAL'!C75 = "", "", '0 AVAL'!C75)</f>
        <v/>
      </c>
      <c r="D63" s="145" t="n"/>
      <c r="E63" s="348" t="inlineStr">
        <is>
          <t>-</t>
        </is>
      </c>
      <c r="F63" s="428" t="n"/>
      <c r="G63" s="348" t="inlineStr">
        <is>
          <t>-</t>
        </is>
      </c>
      <c r="H63" s="428" t="n"/>
      <c r="I63" s="435" t="n"/>
      <c r="J63" s="383" t="n"/>
      <c r="K63" s="383" t="n"/>
      <c r="L63" s="383" t="n"/>
      <c r="M63" s="383" t="n"/>
      <c r="N63" s="424" t="n"/>
    </row>
    <row r="64" ht="27" customHeight="1" thickBot="1"/>
    <row r="65" ht="21.4" customFormat="1" customHeight="1" s="37" thickBot="1">
      <c r="B65" s="418" t="inlineStr">
        <is>
          <t>3- Seguiments d'acords i mesures adoptades de manera consensuada per l'equip docent en anteriors reunions</t>
        </is>
      </c>
      <c r="C65" s="419" t="n"/>
      <c r="D65" s="419" t="n"/>
      <c r="E65" s="419" t="n"/>
      <c r="F65" s="419" t="n"/>
      <c r="G65" s="419" t="n"/>
      <c r="H65" s="419" t="n"/>
      <c r="I65" s="419" t="n"/>
      <c r="J65" s="419" t="n"/>
      <c r="K65" s="419" t="n"/>
      <c r="L65" s="419" t="n"/>
      <c r="M65" s="419" t="n"/>
      <c r="N65" s="420" t="n"/>
    </row>
    <row r="66">
      <c r="B66" s="2" t="n"/>
      <c r="C66" s="2" t="n"/>
      <c r="D66" s="2" t="n"/>
      <c r="E66" s="2" t="n"/>
      <c r="F66" s="2" t="n"/>
      <c r="G66" s="2" t="n"/>
      <c r="H66" s="2" t="n"/>
      <c r="I66" s="2" t="n"/>
      <c r="J66" s="309" t="inlineStr">
        <is>
          <t>Seguiment</t>
        </is>
      </c>
      <c r="K66" s="309" t="inlineStr">
        <is>
          <t>Observacions</t>
        </is>
      </c>
    </row>
    <row r="67">
      <c r="A67" s="86" t="n">
        <v>1</v>
      </c>
      <c r="B67" s="363" t="inlineStr"/>
      <c r="C67" s="436" t="n"/>
      <c r="D67" s="436" t="n"/>
      <c r="E67" s="436" t="n"/>
      <c r="F67" s="436" t="n"/>
      <c r="G67" s="436" t="n"/>
      <c r="H67" s="436" t="n"/>
      <c r="I67" s="436" t="n"/>
      <c r="J67" s="168" t="n"/>
      <c r="K67" s="279" t="n"/>
      <c r="L67" s="387" t="n"/>
      <c r="M67" s="387" t="n"/>
      <c r="N67" s="387" t="n"/>
    </row>
    <row r="68">
      <c r="A68" s="86" t="n">
        <v>2</v>
      </c>
      <c r="B68" s="278" t="inlineStr"/>
      <c r="C68" s="387" t="n"/>
      <c r="D68" s="387" t="n"/>
      <c r="E68" s="387" t="n"/>
      <c r="F68" s="387" t="n"/>
      <c r="G68" s="387" t="n"/>
      <c r="H68" s="387" t="n"/>
      <c r="I68" s="387" t="n"/>
      <c r="J68" s="168" t="n"/>
      <c r="K68" s="279" t="n"/>
      <c r="L68" s="387" t="n"/>
      <c r="M68" s="387" t="n"/>
      <c r="N68" s="387" t="n"/>
    </row>
    <row r="69">
      <c r="A69" s="86" t="n">
        <v>3</v>
      </c>
      <c r="B69" s="278" t="inlineStr"/>
      <c r="C69" s="387" t="n"/>
      <c r="D69" s="387" t="n"/>
      <c r="E69" s="387" t="n"/>
      <c r="F69" s="387" t="n"/>
      <c r="G69" s="387" t="n"/>
      <c r="H69" s="387" t="n"/>
      <c r="I69" s="387" t="n"/>
      <c r="J69" s="168" t="n"/>
      <c r="K69" s="279" t="n"/>
      <c r="L69" s="387" t="n"/>
      <c r="M69" s="387" t="n"/>
      <c r="N69" s="387" t="n"/>
    </row>
    <row r="70">
      <c r="A70" s="86" t="n">
        <v>4</v>
      </c>
      <c r="B70" s="278" t="inlineStr"/>
      <c r="C70" s="387" t="n"/>
      <c r="D70" s="387" t="n"/>
      <c r="E70" s="387" t="n"/>
      <c r="F70" s="387" t="n"/>
      <c r="G70" s="387" t="n"/>
      <c r="H70" s="387" t="n"/>
      <c r="I70" s="387" t="n"/>
      <c r="J70" s="168" t="n"/>
      <c r="K70" s="279" t="n"/>
      <c r="L70" s="387" t="n"/>
      <c r="M70" s="387" t="n"/>
      <c r="N70" s="387" t="n"/>
    </row>
    <row r="71">
      <c r="A71" s="86" t="n">
        <v>5</v>
      </c>
      <c r="B71" s="278" t="inlineStr"/>
      <c r="C71" s="387" t="n"/>
      <c r="D71" s="387" t="n"/>
      <c r="E71" s="387" t="n"/>
      <c r="F71" s="387" t="n"/>
      <c r="G71" s="387" t="n"/>
      <c r="H71" s="387" t="n"/>
      <c r="I71" s="387" t="n"/>
      <c r="J71" s="168" t="n"/>
      <c r="K71" s="279" t="n"/>
      <c r="L71" s="387" t="n"/>
      <c r="M71" s="387" t="n"/>
      <c r="N71" s="387" t="n"/>
    </row>
    <row r="72">
      <c r="A72" s="86" t="n">
        <v>6</v>
      </c>
      <c r="B72" s="278" t="inlineStr"/>
      <c r="C72" s="387" t="n"/>
      <c r="D72" s="387" t="n"/>
      <c r="E72" s="387" t="n"/>
      <c r="F72" s="387" t="n"/>
      <c r="G72" s="387" t="n"/>
      <c r="H72" s="387" t="n"/>
      <c r="I72" s="387" t="n"/>
      <c r="J72" s="168" t="n"/>
      <c r="K72" s="279" t="n"/>
      <c r="L72" s="387" t="n"/>
      <c r="M72" s="387" t="n"/>
      <c r="N72" s="387" t="n"/>
    </row>
    <row r="73" ht="16.15" customHeight="1" thickBot="1">
      <c r="A73" s="86" t="n">
        <v>7</v>
      </c>
      <c r="B73" s="364" t="inlineStr"/>
      <c r="C73" s="385" t="n"/>
      <c r="D73" s="385" t="n"/>
      <c r="E73" s="385" t="n"/>
      <c r="F73" s="385" t="n"/>
      <c r="G73" s="385" t="n"/>
      <c r="H73" s="385" t="n"/>
      <c r="I73" s="385" t="n"/>
      <c r="J73" s="169" t="n"/>
      <c r="K73" s="286" t="n"/>
      <c r="L73" s="388" t="n"/>
      <c r="M73" s="388" t="n"/>
      <c r="N73" s="388" t="n"/>
    </row>
    <row r="74" ht="16.15" customHeight="1" thickBot="1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 ht="21.4" customFormat="1" customHeight="1" s="37" thickBot="1">
      <c r="B75" s="418" t="inlineStr">
        <is>
          <t>4- Acords adoptats de caràcter col·legiat per l'equip docent</t>
        </is>
      </c>
      <c r="C75" s="419" t="n"/>
      <c r="D75" s="419" t="n"/>
      <c r="E75" s="419" t="n"/>
      <c r="F75" s="419" t="n"/>
      <c r="G75" s="419" t="n"/>
      <c r="H75" s="419" t="n"/>
      <c r="I75" s="419" t="n"/>
      <c r="J75" s="419" t="n"/>
      <c r="K75" s="419" t="n"/>
      <c r="L75" s="419" t="n"/>
      <c r="M75" s="419" t="n"/>
      <c r="N75" s="420" t="n"/>
    </row>
    <row r="76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 ht="30.75" customFormat="1" customHeight="1" s="29">
      <c r="A77" s="129" t="n">
        <v>1</v>
      </c>
      <c r="B77" s="281">
        <f>IF(ACORDS!E41 = "", "", ACORDS!E41)</f>
        <v/>
      </c>
      <c r="C77" s="387" t="n"/>
      <c r="D77" s="387" t="n"/>
      <c r="E77" s="387" t="n"/>
      <c r="F77" s="387" t="n"/>
      <c r="G77" s="387" t="n"/>
      <c r="H77" s="387" t="n"/>
      <c r="I77" s="387" t="n"/>
      <c r="J77" s="421" t="inlineStr">
        <is>
          <t xml:space="preserve">Acta elaborada per: XXXXX. XX:XXh </t>
        </is>
      </c>
      <c r="K77" s="398" t="n"/>
      <c r="L77" s="398" t="n"/>
      <c r="M77" s="398" t="n"/>
      <c r="N77" s="399" t="n"/>
    </row>
    <row r="78" ht="30.75" customFormat="1" customHeight="1" s="29">
      <c r="A78" s="129" t="n">
        <v>2</v>
      </c>
      <c r="B78" s="281">
        <f>IF(ACORDS!E42 = "", "", ACORDS!E42)</f>
        <v/>
      </c>
      <c r="C78" s="387" t="n"/>
      <c r="D78" s="387" t="n"/>
      <c r="E78" s="387" t="n"/>
      <c r="F78" s="387" t="n"/>
      <c r="G78" s="387" t="n"/>
      <c r="H78" s="387" t="n"/>
      <c r="I78" s="387" t="n"/>
      <c r="J78" s="400" t="n"/>
      <c r="N78" s="401" t="n"/>
    </row>
    <row r="79" ht="30.75" customFormat="1" customHeight="1" s="29">
      <c r="A79" s="129" t="n">
        <v>3</v>
      </c>
      <c r="B79" s="281">
        <f>IF(ACORDS!E43 = "", "", ACORDS!E43)</f>
        <v/>
      </c>
      <c r="C79" s="387" t="n"/>
      <c r="D79" s="387" t="n"/>
      <c r="E79" s="387" t="n"/>
      <c r="F79" s="387" t="n"/>
      <c r="G79" s="387" t="n"/>
      <c r="H79" s="387" t="n"/>
      <c r="I79" s="387" t="n"/>
      <c r="J79" s="400" t="n"/>
      <c r="N79" s="401" t="n"/>
    </row>
    <row r="80" ht="30.75" customFormat="1" customHeight="1" s="29">
      <c r="A80" s="129" t="n">
        <v>4</v>
      </c>
      <c r="B80" s="281">
        <f>IF(ACORDS!E44 = "", "", ACORDS!E44)</f>
        <v/>
      </c>
      <c r="C80" s="387" t="n"/>
      <c r="D80" s="387" t="n"/>
      <c r="E80" s="387" t="n"/>
      <c r="F80" s="387" t="n"/>
      <c r="G80" s="387" t="n"/>
      <c r="H80" s="387" t="n"/>
      <c r="I80" s="387" t="n"/>
      <c r="J80" s="400" t="n"/>
      <c r="N80" s="401" t="n"/>
    </row>
    <row r="81" ht="30.75" customFormat="1" customHeight="1" s="29">
      <c r="A81" s="129" t="n">
        <v>5</v>
      </c>
      <c r="B81" s="281">
        <f>IF(ACORDS!E45 = "", "", ACORDS!E45)</f>
        <v/>
      </c>
      <c r="C81" s="387" t="n"/>
      <c r="D81" s="387" t="n"/>
      <c r="E81" s="387" t="n"/>
      <c r="F81" s="387" t="n"/>
      <c r="G81" s="387" t="n"/>
      <c r="H81" s="387" t="n"/>
      <c r="I81" s="387" t="n"/>
      <c r="J81" s="400" t="n"/>
      <c r="N81" s="401" t="n"/>
    </row>
    <row r="82" ht="30.75" customFormat="1" customHeight="1" s="29">
      <c r="A82" s="129" t="n">
        <v>6</v>
      </c>
      <c r="B82" s="281">
        <f>IF(ACORDS!E46 = "", "", ACORDS!E46)</f>
        <v/>
      </c>
      <c r="C82" s="387" t="n"/>
      <c r="D82" s="387" t="n"/>
      <c r="E82" s="387" t="n"/>
      <c r="F82" s="387" t="n"/>
      <c r="G82" s="387" t="n"/>
      <c r="H82" s="387" t="n"/>
      <c r="I82" s="387" t="n"/>
      <c r="J82" s="400" t="n"/>
      <c r="N82" s="401" t="n"/>
    </row>
    <row r="83" ht="30.75" customFormat="1" customHeight="1" s="29" thickBot="1">
      <c r="A83" s="129" t="n">
        <v>7</v>
      </c>
      <c r="B83" s="281">
        <f>IF(ACORDS!E47 = "", "", ACORDS!E47)</f>
        <v/>
      </c>
      <c r="C83" s="387" t="n"/>
      <c r="D83" s="387" t="n"/>
      <c r="E83" s="387" t="n"/>
      <c r="F83" s="387" t="n"/>
      <c r="G83" s="387" t="n"/>
      <c r="H83" s="387" t="n"/>
      <c r="I83" s="387" t="n"/>
      <c r="J83" s="402" t="n"/>
      <c r="K83" s="403" t="n"/>
      <c r="L83" s="403" t="n"/>
      <c r="M83" s="403" t="n"/>
      <c r="N83" s="404" t="n"/>
    </row>
    <row r="84" ht="50.25" customHeight="1">
      <c r="B84" s="282" t="inlineStr">
        <is>
          <t>En aquest document s'està realitzant un tractament de dades de l'alumnat que està regulat per la normativa vigent en matèria de Protecció de Dades de Caràcter Personal (LOPD 3/2018 i Resolució Conselleria
Educació, Investigació, Cultura i Esport del 28/6/2018). Recorda que les dades han de ser tractats de manera responsable i que has de guardar secret professional i no cedir o divulgar les dades ací contingudes.</t>
        </is>
      </c>
      <c r="C84" s="386" t="n"/>
      <c r="D84" s="386" t="n"/>
      <c r="E84" s="386" t="n"/>
      <c r="F84" s="386" t="n"/>
      <c r="G84" s="386" t="n"/>
      <c r="H84" s="386" t="n"/>
      <c r="I84" s="386" t="n"/>
      <c r="J84" s="386" t="n"/>
      <c r="K84" s="386" t="n"/>
      <c r="L84" s="386" t="n"/>
      <c r="M84" s="386" t="n"/>
      <c r="N84" s="386" t="n"/>
    </row>
  </sheetData>
  <mergeCells count="167">
    <mergeCell ref="K70:N70"/>
    <mergeCell ref="G12:K12"/>
    <mergeCell ref="E62:F62"/>
    <mergeCell ref="D2:F6"/>
    <mergeCell ref="B65:N65"/>
    <mergeCell ref="I28:N28"/>
    <mergeCell ref="B72:I72"/>
    <mergeCell ref="E23:F23"/>
    <mergeCell ref="G23:H23"/>
    <mergeCell ref="B70:I70"/>
    <mergeCell ref="E51:F51"/>
    <mergeCell ref="E63:F63"/>
    <mergeCell ref="G57:H57"/>
    <mergeCell ref="I48:N48"/>
    <mergeCell ref="I23:N23"/>
    <mergeCell ref="G13:K13"/>
    <mergeCell ref="J5:M5"/>
    <mergeCell ref="I38:N38"/>
    <mergeCell ref="B73:I73"/>
    <mergeCell ref="E34:F34"/>
    <mergeCell ref="G2:G6"/>
    <mergeCell ref="G34:H34"/>
    <mergeCell ref="B82:I82"/>
    <mergeCell ref="G15:K15"/>
    <mergeCell ref="E49:F49"/>
    <mergeCell ref="E27:F27"/>
    <mergeCell ref="G58:H58"/>
    <mergeCell ref="I40:N40"/>
    <mergeCell ref="B21:N21"/>
    <mergeCell ref="E36:F36"/>
    <mergeCell ref="B68:I68"/>
    <mergeCell ref="B83:I83"/>
    <mergeCell ref="G16:K16"/>
    <mergeCell ref="K67:N67"/>
    <mergeCell ref="J4:M4"/>
    <mergeCell ref="I26:N26"/>
    <mergeCell ref="E53:F53"/>
    <mergeCell ref="G44:H44"/>
    <mergeCell ref="G59:H59"/>
    <mergeCell ref="I25:N25"/>
    <mergeCell ref="E55:F55"/>
    <mergeCell ref="I53:N53"/>
    <mergeCell ref="G61:H61"/>
    <mergeCell ref="E48:F48"/>
    <mergeCell ref="G48:H48"/>
    <mergeCell ref="K69:N69"/>
    <mergeCell ref="E38:F38"/>
    <mergeCell ref="I55:N55"/>
    <mergeCell ref="G38:H38"/>
    <mergeCell ref="I52:N52"/>
    <mergeCell ref="B2:C6"/>
    <mergeCell ref="I39:N39"/>
    <mergeCell ref="G62:H62"/>
    <mergeCell ref="E40:F40"/>
    <mergeCell ref="G49:H49"/>
    <mergeCell ref="I29:N29"/>
    <mergeCell ref="B78:I78"/>
    <mergeCell ref="G24:H24"/>
    <mergeCell ref="G33:H33"/>
    <mergeCell ref="G14:K14"/>
    <mergeCell ref="I31:N31"/>
    <mergeCell ref="E26:F26"/>
    <mergeCell ref="K72:N72"/>
    <mergeCell ref="G26:H26"/>
    <mergeCell ref="I46:N46"/>
    <mergeCell ref="G35:H35"/>
    <mergeCell ref="E25:F25"/>
    <mergeCell ref="G25:H25"/>
    <mergeCell ref="J2:N2"/>
    <mergeCell ref="G60:H60"/>
    <mergeCell ref="I57:N57"/>
    <mergeCell ref="E58:F58"/>
    <mergeCell ref="I54:N54"/>
    <mergeCell ref="E50:F50"/>
    <mergeCell ref="B84:N84"/>
    <mergeCell ref="I41:N41"/>
    <mergeCell ref="G42:H42"/>
    <mergeCell ref="J3:M3"/>
    <mergeCell ref="I56:N56"/>
    <mergeCell ref="E52:F52"/>
    <mergeCell ref="I43:N43"/>
    <mergeCell ref="I58:N58"/>
    <mergeCell ref="E39:F39"/>
    <mergeCell ref="E44:F44"/>
    <mergeCell ref="G39:H39"/>
    <mergeCell ref="G17:K17"/>
    <mergeCell ref="I33:N33"/>
    <mergeCell ref="B77:I77"/>
    <mergeCell ref="I42:N42"/>
    <mergeCell ref="E29:F29"/>
    <mergeCell ref="G37:H37"/>
    <mergeCell ref="B67:I67"/>
    <mergeCell ref="B17:C17"/>
    <mergeCell ref="I35:N35"/>
    <mergeCell ref="E31:F31"/>
    <mergeCell ref="I44:N44"/>
    <mergeCell ref="E59:F59"/>
    <mergeCell ref="E46:F46"/>
    <mergeCell ref="B69:I69"/>
    <mergeCell ref="I59:N59"/>
    <mergeCell ref="I60:N60"/>
    <mergeCell ref="E61:F61"/>
    <mergeCell ref="I30:N30"/>
    <mergeCell ref="E57:F57"/>
    <mergeCell ref="G51:H51"/>
    <mergeCell ref="E54:F54"/>
    <mergeCell ref="E32:F32"/>
    <mergeCell ref="G54:H54"/>
    <mergeCell ref="G32:H32"/>
    <mergeCell ref="E41:F41"/>
    <mergeCell ref="G63:H63"/>
    <mergeCell ref="G41:H41"/>
    <mergeCell ref="G50:H50"/>
    <mergeCell ref="I61:N61"/>
    <mergeCell ref="B79:I79"/>
    <mergeCell ref="E56:F56"/>
    <mergeCell ref="G56:H56"/>
    <mergeCell ref="K71:N71"/>
    <mergeCell ref="I47:N47"/>
    <mergeCell ref="E43:F43"/>
    <mergeCell ref="G43:H43"/>
    <mergeCell ref="G52:H52"/>
    <mergeCell ref="I32:N32"/>
    <mergeCell ref="E24:F24"/>
    <mergeCell ref="I37:N37"/>
    <mergeCell ref="B9:N9"/>
    <mergeCell ref="B81:I81"/>
    <mergeCell ref="E33:F33"/>
    <mergeCell ref="G27:H27"/>
    <mergeCell ref="K73:N73"/>
    <mergeCell ref="E42:F42"/>
    <mergeCell ref="G36:H36"/>
    <mergeCell ref="B71:I71"/>
    <mergeCell ref="K66:N66"/>
    <mergeCell ref="I62:N62"/>
    <mergeCell ref="E35:F35"/>
    <mergeCell ref="I24:N24"/>
    <mergeCell ref="B75:N75"/>
    <mergeCell ref="E28:F28"/>
    <mergeCell ref="G53:H53"/>
    <mergeCell ref="G28:H28"/>
    <mergeCell ref="K68:N68"/>
    <mergeCell ref="J77:N83"/>
    <mergeCell ref="E60:F60"/>
    <mergeCell ref="I51:N51"/>
    <mergeCell ref="E30:F30"/>
    <mergeCell ref="I63:N63"/>
    <mergeCell ref="G30:H30"/>
    <mergeCell ref="I50:N50"/>
    <mergeCell ref="E45:F45"/>
    <mergeCell ref="G45:H45"/>
    <mergeCell ref="J6:M6"/>
    <mergeCell ref="I34:N34"/>
    <mergeCell ref="G55:H55"/>
    <mergeCell ref="G29:H29"/>
    <mergeCell ref="I49:N49"/>
    <mergeCell ref="G47:H47"/>
    <mergeCell ref="I27:N27"/>
    <mergeCell ref="I36:N36"/>
    <mergeCell ref="I45:N45"/>
    <mergeCell ref="E37:F37"/>
    <mergeCell ref="B80:I80"/>
    <mergeCell ref="G31:H31"/>
    <mergeCell ref="G46:H46"/>
    <mergeCell ref="G40:H40"/>
    <mergeCell ref="J7:M7"/>
    <mergeCell ref="E47:F47"/>
  </mergeCells>
  <conditionalFormatting sqref="E24:F63">
    <cfRule type="containsText" priority="5" operator="containsText" dxfId="6" text="tots">
      <formula>NOT(ISERROR(SEARCH("tots",E24)))</formula>
    </cfRule>
    <cfRule type="containsText" priority="6" operator="containsText" dxfId="5" text="algun">
      <formula>NOT(ISERROR(SEARCH("algun",E24)))</formula>
    </cfRule>
    <cfRule type="containsText" priority="7" operator="containsText" dxfId="4" text="No">
      <formula>NOT(ISERROR(SEARCH("No",E24)))</formula>
    </cfRule>
  </conditionalFormatting>
  <conditionalFormatting sqref="J67:J73">
    <cfRule type="containsText" priority="2" operator="containsText" dxfId="2" text="No">
      <formula>NOT(ISERROR(SEARCH("No",J67)))</formula>
    </cfRule>
    <cfRule type="containsText" priority="3" operator="containsText" dxfId="1" text="Procés">
      <formula>NOT(ISERROR(SEARCH("Procés",J67)))</formula>
    </cfRule>
    <cfRule type="containsText" priority="4" operator="containsText" dxfId="0" text="Fet">
      <formula>NOT(ISERROR(SEARCH("Fet",J67)))</formula>
    </cfRule>
  </conditionalFormatting>
  <dataValidations count="2">
    <dataValidation sqref="J6:M6" showDropDown="0" showInputMessage="1" showErrorMessage="1" allowBlank="1"/>
    <dataValidation sqref="J7:M7" showDropDown="0" showInputMessage="1" showErrorMessage="1" allowBlank="1" type="date">
      <formula1>45170</formula1>
      <formula2>47664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1:Y79"/>
  <sheetViews>
    <sheetView workbookViewId="0">
      <selection activeCell="B28" sqref="B28:C67"/>
    </sheetView>
  </sheetViews>
  <sheetFormatPr baseColWidth="10" defaultColWidth="0" defaultRowHeight="15.75" zeroHeight="1"/>
  <cols>
    <col width="3.265625" customWidth="1" style="248" min="1" max="1"/>
    <col width="21.73046875" customWidth="1" style="248" min="2" max="2"/>
    <col width="25.265625" customWidth="1" style="248" min="3" max="3"/>
    <col width="12.59765625" customWidth="1" style="248" min="4" max="8"/>
    <col width="15.86328125" customWidth="1" style="248" min="9" max="9"/>
    <col width="12.59765625" customWidth="1" style="248" min="10" max="13"/>
    <col width="2.73046875" customWidth="1" style="248" min="14" max="14"/>
    <col hidden="1" style="248" min="15" max="22"/>
    <col hidden="1" width="4.3984375" customWidth="1" style="248" min="23" max="181"/>
    <col hidden="1" style="248" min="182" max="16383"/>
    <col width="5" customWidth="1" style="248" min="16384" max="16384"/>
  </cols>
  <sheetData>
    <row r="1" ht="29.25" customHeight="1">
      <c r="B1" s="29" t="n"/>
      <c r="C1" s="29" t="n"/>
      <c r="D1" s="29" t="n"/>
      <c r="E1" s="29" t="n"/>
      <c r="F1" s="29" t="n"/>
      <c r="G1" s="29" t="n"/>
      <c r="H1" s="29" t="n"/>
      <c r="I1" s="177" t="inlineStr">
        <is>
          <t xml:space="preserve">Reunió equip docent </t>
        </is>
      </c>
      <c r="J1" s="30" t="n"/>
      <c r="K1" s="30" t="n"/>
      <c r="L1" s="31" t="inlineStr">
        <is>
          <t>Ed01 - Setem.25</t>
        </is>
      </c>
      <c r="M1" s="30" t="n"/>
    </row>
    <row r="2" ht="15.75" customHeight="1">
      <c r="B2" s="197" t="e">
        <v>#VALUE!</v>
      </c>
      <c r="D2" s="197" t="e">
        <v>#VALUE!</v>
      </c>
      <c r="G2" s="197" t="n"/>
      <c r="H2" s="197" t="n"/>
      <c r="J2" s="248" t="n"/>
    </row>
    <row r="3" ht="15.75" customHeight="1">
      <c r="H3" s="197" t="n"/>
      <c r="I3" s="70" t="inlineStr">
        <is>
          <t>GRUP</t>
        </is>
      </c>
      <c r="J3" s="198">
        <f>IF(INDEX!G3 = "", "", INDEX!G3)</f>
        <v/>
      </c>
      <c r="K3" s="387" t="n"/>
      <c r="L3" s="387" t="n"/>
      <c r="M3" s="387" t="n"/>
    </row>
    <row r="4" ht="15.75" customHeight="1">
      <c r="H4" s="197" t="n"/>
      <c r="I4" s="317" t="inlineStr">
        <is>
          <t>TUTOR/A</t>
        </is>
      </c>
      <c r="J4" s="198">
        <f>IF(INDEX!G4 = "", "", INDEX!G4)</f>
        <v/>
      </c>
      <c r="K4" s="387" t="n"/>
      <c r="L4" s="387" t="n"/>
      <c r="M4" s="387" t="n"/>
    </row>
    <row r="5" hidden="1" ht="15.75" customHeight="1">
      <c r="H5" s="197" t="n"/>
      <c r="J5" s="198" t="n"/>
      <c r="K5" s="387" t="n"/>
      <c r="L5" s="387" t="n"/>
      <c r="M5" s="387" t="n"/>
    </row>
    <row r="6" ht="15.75" customHeight="1" thickBot="1">
      <c r="H6" s="197" t="n"/>
      <c r="I6" s="71" t="inlineStr">
        <is>
          <t>CURS ESCOLAR</t>
        </is>
      </c>
      <c r="J6" s="198">
        <f>INDEX!G5</f>
        <v/>
      </c>
      <c r="K6" s="387" t="n"/>
      <c r="L6" s="387" t="n"/>
      <c r="M6" s="387" t="n"/>
    </row>
    <row r="7">
      <c r="B7" s="29" t="n"/>
      <c r="C7" s="29" t="n"/>
      <c r="D7" s="197" t="n"/>
      <c r="E7" s="197" t="n"/>
      <c r="F7" s="197" t="n"/>
      <c r="G7" s="197" t="n"/>
      <c r="H7" s="197" t="n"/>
      <c r="I7" s="73" t="inlineStr">
        <is>
          <t>DATA REUNIÓ</t>
        </is>
      </c>
      <c r="J7" s="249" t="n"/>
      <c r="K7" s="386" t="n"/>
      <c r="L7" s="386" t="n"/>
      <c r="M7" s="386" t="n"/>
    </row>
    <row r="9" ht="21" customFormat="1" customHeight="1" s="37">
      <c r="B9" s="196" t="inlineStr">
        <is>
          <t>1- Seguiment i evolució del grup</t>
        </is>
      </c>
    </row>
    <row r="11" ht="15.6" customHeight="1">
      <c r="B11" s="250" t="inlineStr">
        <is>
          <t>Revisió d'acords anteriors</t>
        </is>
      </c>
      <c r="N11" s="250" t="n"/>
    </row>
    <row r="12" ht="56.25" customHeight="1">
      <c r="B12" s="437" t="n"/>
      <c r="C12" s="383" t="n"/>
      <c r="D12" s="383" t="n"/>
      <c r="E12" s="383" t="n"/>
      <c r="F12" s="383" t="n"/>
      <c r="G12" s="383" t="n"/>
      <c r="H12" s="383" t="n"/>
      <c r="I12" s="383" t="n"/>
      <c r="J12" s="383" t="n"/>
      <c r="K12" s="383" t="n"/>
      <c r="L12" s="383" t="n"/>
      <c r="M12" s="383" t="n"/>
      <c r="N12" s="424" t="n"/>
    </row>
    <row r="14">
      <c r="B14" s="250" t="inlineStr">
        <is>
          <t>Anàlisis del rendiment general del grup - Punts forts (aspectes positius en l'aprenentatge, participació, ambient de grup, etc.)</t>
        </is>
      </c>
      <c r="N14" s="250" t="n"/>
    </row>
    <row r="15" ht="56.25" customHeight="1">
      <c r="B15" s="437" t="n"/>
      <c r="C15" s="383" t="n"/>
      <c r="D15" s="383" t="n"/>
      <c r="E15" s="383" t="n"/>
      <c r="F15" s="383" t="n"/>
      <c r="G15" s="383" t="n"/>
      <c r="H15" s="383" t="n"/>
      <c r="I15" s="383" t="n"/>
      <c r="J15" s="383" t="n"/>
      <c r="K15" s="383" t="n"/>
      <c r="L15" s="383" t="n"/>
      <c r="M15" s="383" t="n"/>
      <c r="N15" s="424" t="n"/>
    </row>
    <row r="16" hidden="1" customHeight="1"/>
    <row r="17">
      <c r="B17" s="178" t="inlineStr">
        <is>
          <t>Anàlisi del rendiment general del grup - Aspectes a millorar (dificultats observades a nivell grupal ex. falta de participació, problemes de convivència, baixos resultats en determinats RA o mòduls)</t>
        </is>
      </c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8" t="n"/>
      <c r="L17" s="178" t="n"/>
      <c r="M17" s="178" t="n"/>
      <c r="N17" s="178" t="n"/>
    </row>
    <row r="18" ht="56.25" customHeight="1">
      <c r="B18" s="437" t="n"/>
      <c r="C18" s="383" t="n"/>
      <c r="D18" s="383" t="n"/>
      <c r="E18" s="383" t="n"/>
      <c r="F18" s="383" t="n"/>
      <c r="G18" s="383" t="n"/>
      <c r="H18" s="383" t="n"/>
      <c r="I18" s="383" t="n"/>
      <c r="J18" s="383" t="n"/>
      <c r="K18" s="383" t="n"/>
      <c r="L18" s="383" t="n"/>
      <c r="M18" s="383" t="n"/>
      <c r="N18" s="424" t="n"/>
    </row>
    <row r="20" ht="21" customFormat="1" customHeight="1" s="37">
      <c r="B20" s="196" t="inlineStr">
        <is>
          <t>2- Valoració del procés d'ensenyament-aprenentatge</t>
        </is>
      </c>
    </row>
    <row r="22" ht="15.6" customHeight="1">
      <c r="B22" s="438" t="n"/>
      <c r="C22" s="430" t="n"/>
      <c r="D22" s="430" t="n"/>
      <c r="E22" s="430" t="n"/>
      <c r="F22" s="430" t="n"/>
      <c r="G22" s="430" t="n"/>
      <c r="H22" s="430" t="n"/>
      <c r="I22" s="430" t="n"/>
      <c r="J22" s="430" t="n"/>
      <c r="K22" s="430" t="n"/>
      <c r="L22" s="430" t="n"/>
      <c r="M22" s="430" t="n"/>
      <c r="N22" s="427" t="n"/>
    </row>
    <row r="23" ht="253.5" customHeight="1">
      <c r="B23" s="439" t="n"/>
      <c r="C23" s="389" t="n"/>
      <c r="D23" s="389" t="n"/>
      <c r="E23" s="389" t="n"/>
      <c r="F23" s="389" t="n"/>
      <c r="G23" s="389" t="n"/>
      <c r="H23" s="389" t="n"/>
      <c r="I23" s="389" t="n"/>
      <c r="J23" s="389" t="n"/>
      <c r="K23" s="389" t="n"/>
      <c r="L23" s="389" t="n"/>
      <c r="M23" s="389" t="n"/>
      <c r="N23" s="428" t="n"/>
    </row>
    <row r="25" ht="21" customFormat="1" customHeight="1" s="37">
      <c r="B25" s="196" t="inlineStr">
        <is>
          <t>3- Anàlisi individual de l'alumnat</t>
        </is>
      </c>
    </row>
    <row r="27" ht="45.75" customFormat="1" customHeight="1" s="188">
      <c r="B27" s="179" t="inlineStr">
        <is>
          <t>NIA</t>
        </is>
      </c>
      <c r="C27" s="180" t="inlineStr">
        <is>
          <t>Alumne/a</t>
        </is>
      </c>
      <c r="D27" s="180" t="inlineStr">
        <is>
          <t>Estat1rT</t>
        </is>
      </c>
      <c r="E27" s="252" t="inlineStr">
        <is>
          <t>Valoració del progrés en la consecució dels Resultats d'Aprenentatge (RA) i les competències professionals i per a l'ocupabilitat - Identificació d'alumnat amb progrés no adequat i registre del seguiment i suports individualitzats</t>
        </is>
      </c>
      <c r="F27" s="387" t="n"/>
      <c r="G27" s="387" t="n"/>
      <c r="H27" s="387" t="n"/>
      <c r="I27" s="387" t="n"/>
      <c r="J27" s="387" t="n"/>
      <c r="K27" s="387" t="n"/>
      <c r="L27" s="387" t="n"/>
      <c r="M27" s="387" t="n"/>
      <c r="N27" s="406" t="n"/>
    </row>
    <row r="28" ht="47.25" customHeight="1">
      <c r="A28" s="188" t="n">
        <v>1</v>
      </c>
      <c r="B28" s="163">
        <f>IF('0 AVAL'!B36 = "", "", '0 AVAL'!B36)</f>
        <v/>
      </c>
      <c r="C28" s="163">
        <f>IF('0 AVAL'!C36 = "", "", '0 AVAL'!C36)</f>
        <v/>
      </c>
      <c r="D28" s="164" t="n"/>
      <c r="E28" s="440" t="inlineStr">
        <is>
          <t xml:space="preserve">
</t>
        </is>
      </c>
      <c r="F28" s="394" t="n"/>
      <c r="G28" s="394" t="n"/>
      <c r="H28" s="394" t="n"/>
      <c r="I28" s="394" t="n"/>
      <c r="J28" s="394" t="n"/>
      <c r="K28" s="394" t="n"/>
      <c r="L28" s="394" t="n"/>
      <c r="M28" s="394" t="n"/>
      <c r="N28" s="441" t="n"/>
    </row>
    <row r="29" ht="47.25" customHeight="1">
      <c r="A29" s="188" t="n">
        <v>2</v>
      </c>
      <c r="B29" s="163">
        <f>IF('0 AVAL'!B37 = "", "", '0 AVAL'!B37)</f>
        <v/>
      </c>
      <c r="C29" s="163">
        <f>IF('0 AVAL'!C37 = "", "", '0 AVAL'!C37)</f>
        <v/>
      </c>
      <c r="D29" s="145" t="n"/>
      <c r="E29" s="442" t="n"/>
      <c r="F29" s="387" t="n"/>
      <c r="G29" s="387" t="n"/>
      <c r="H29" s="387" t="n"/>
      <c r="I29" s="387" t="n"/>
      <c r="J29" s="387" t="n"/>
      <c r="K29" s="387" t="n"/>
      <c r="L29" s="387" t="n"/>
      <c r="M29" s="387" t="n"/>
      <c r="N29" s="406" t="n"/>
    </row>
    <row r="30" ht="47.25" customHeight="1">
      <c r="A30" s="188" t="n">
        <v>3</v>
      </c>
      <c r="B30" s="163">
        <f>IF('0 AVAL'!B38 = "", "", '0 AVAL'!B38)</f>
        <v/>
      </c>
      <c r="C30" s="163">
        <f>IF('0 AVAL'!C38 = "", "", '0 AVAL'!C38)</f>
        <v/>
      </c>
      <c r="D30" s="145" t="n"/>
      <c r="E30" s="442" t="n"/>
      <c r="F30" s="387" t="n"/>
      <c r="G30" s="387" t="n"/>
      <c r="H30" s="387" t="n"/>
      <c r="I30" s="387" t="n"/>
      <c r="J30" s="387" t="n"/>
      <c r="K30" s="387" t="n"/>
      <c r="L30" s="387" t="n"/>
      <c r="M30" s="387" t="n"/>
      <c r="N30" s="406" t="n"/>
    </row>
    <row r="31" ht="47.25" customHeight="1">
      <c r="A31" s="188" t="n">
        <v>4</v>
      </c>
      <c r="B31" s="163">
        <f>IF('0 AVAL'!B39 = "", "", '0 AVAL'!B39)</f>
        <v/>
      </c>
      <c r="C31" s="163">
        <f>IF('0 AVAL'!C39 = "", "", '0 AVAL'!C39)</f>
        <v/>
      </c>
      <c r="D31" s="145" t="n"/>
      <c r="E31" s="442" t="n"/>
      <c r="F31" s="387" t="n"/>
      <c r="G31" s="387" t="n"/>
      <c r="H31" s="387" t="n"/>
      <c r="I31" s="387" t="n"/>
      <c r="J31" s="387" t="n"/>
      <c r="K31" s="387" t="n"/>
      <c r="L31" s="387" t="n"/>
      <c r="M31" s="387" t="n"/>
      <c r="N31" s="406" t="n"/>
    </row>
    <row r="32" ht="47.25" customHeight="1">
      <c r="A32" s="188" t="n">
        <v>5</v>
      </c>
      <c r="B32" s="163">
        <f>IF('0 AVAL'!B40 = "", "", '0 AVAL'!B40)</f>
        <v/>
      </c>
      <c r="C32" s="163">
        <f>IF('0 AVAL'!C40 = "", "", '0 AVAL'!C40)</f>
        <v/>
      </c>
      <c r="D32" s="145" t="n"/>
      <c r="E32" s="442" t="n"/>
      <c r="F32" s="387" t="n"/>
      <c r="G32" s="387" t="n"/>
      <c r="H32" s="387" t="n"/>
      <c r="I32" s="387" t="n"/>
      <c r="J32" s="387" t="n"/>
      <c r="K32" s="387" t="n"/>
      <c r="L32" s="387" t="n"/>
      <c r="M32" s="387" t="n"/>
      <c r="N32" s="406" t="n"/>
    </row>
    <row r="33" ht="47.25" customHeight="1">
      <c r="A33" s="188" t="n">
        <v>6</v>
      </c>
      <c r="B33" s="163">
        <f>IF('0 AVAL'!B41 = "", "", '0 AVAL'!B41)</f>
        <v/>
      </c>
      <c r="C33" s="163">
        <f>IF('0 AVAL'!C41 = "", "", '0 AVAL'!C41)</f>
        <v/>
      </c>
      <c r="D33" s="145" t="n"/>
      <c r="E33" s="442" t="n"/>
      <c r="F33" s="387" t="n"/>
      <c r="G33" s="387" t="n"/>
      <c r="H33" s="387" t="n"/>
      <c r="I33" s="387" t="n"/>
      <c r="J33" s="387" t="n"/>
      <c r="K33" s="387" t="n"/>
      <c r="L33" s="387" t="n"/>
      <c r="M33" s="387" t="n"/>
      <c r="N33" s="406" t="n"/>
    </row>
    <row r="34" ht="47.25" customHeight="1">
      <c r="A34" s="188" t="n">
        <v>7</v>
      </c>
      <c r="B34" s="163">
        <f>IF('0 AVAL'!B42 = "", "", '0 AVAL'!B42)</f>
        <v/>
      </c>
      <c r="C34" s="163">
        <f>IF('0 AVAL'!C42 = "", "", '0 AVAL'!C42)</f>
        <v/>
      </c>
      <c r="D34" s="145" t="n"/>
      <c r="E34" s="442" t="n"/>
      <c r="F34" s="387" t="n"/>
      <c r="G34" s="387" t="n"/>
      <c r="H34" s="387" t="n"/>
      <c r="I34" s="387" t="n"/>
      <c r="J34" s="387" t="n"/>
      <c r="K34" s="387" t="n"/>
      <c r="L34" s="387" t="n"/>
      <c r="M34" s="387" t="n"/>
      <c r="N34" s="406" t="n"/>
    </row>
    <row r="35" ht="47.25" customHeight="1">
      <c r="A35" s="188" t="n">
        <v>8</v>
      </c>
      <c r="B35" s="163">
        <f>IF('0 AVAL'!B43 = "", "", '0 AVAL'!B43)</f>
        <v/>
      </c>
      <c r="C35" s="163">
        <f>IF('0 AVAL'!C43 = "", "", '0 AVAL'!C43)</f>
        <v/>
      </c>
      <c r="D35" s="145" t="n"/>
      <c r="E35" s="442" t="n"/>
      <c r="F35" s="387" t="n"/>
      <c r="G35" s="387" t="n"/>
      <c r="H35" s="387" t="n"/>
      <c r="I35" s="387" t="n"/>
      <c r="J35" s="387" t="n"/>
      <c r="K35" s="387" t="n"/>
      <c r="L35" s="387" t="n"/>
      <c r="M35" s="387" t="n"/>
      <c r="N35" s="406" t="n"/>
    </row>
    <row r="36" ht="47.25" customHeight="1">
      <c r="A36" s="188" t="n">
        <v>9</v>
      </c>
      <c r="B36" s="163">
        <f>IF('0 AVAL'!B44 = "", "", '0 AVAL'!B44)</f>
        <v/>
      </c>
      <c r="C36" s="163">
        <f>IF('0 AVAL'!C44 = "", "", '0 AVAL'!C44)</f>
        <v/>
      </c>
      <c r="D36" s="145" t="n"/>
      <c r="E36" s="442" t="n"/>
      <c r="F36" s="387" t="n"/>
      <c r="G36" s="387" t="n"/>
      <c r="H36" s="387" t="n"/>
      <c r="I36" s="387" t="n"/>
      <c r="J36" s="387" t="n"/>
      <c r="K36" s="387" t="n"/>
      <c r="L36" s="387" t="n"/>
      <c r="M36" s="387" t="n"/>
      <c r="N36" s="406" t="n"/>
    </row>
    <row r="37" ht="47.25" customHeight="1">
      <c r="A37" s="188" t="n">
        <v>10</v>
      </c>
      <c r="B37" s="163">
        <f>IF('0 AVAL'!B45 = "", "", '0 AVAL'!B45)</f>
        <v/>
      </c>
      <c r="C37" s="163">
        <f>IF('0 AVAL'!C45 = "", "", '0 AVAL'!C45)</f>
        <v/>
      </c>
      <c r="D37" s="145" t="n"/>
      <c r="E37" s="442" t="n"/>
      <c r="F37" s="387" t="n"/>
      <c r="G37" s="387" t="n"/>
      <c r="H37" s="387" t="n"/>
      <c r="I37" s="387" t="n"/>
      <c r="J37" s="387" t="n"/>
      <c r="K37" s="387" t="n"/>
      <c r="L37" s="387" t="n"/>
      <c r="M37" s="387" t="n"/>
      <c r="N37" s="406" t="n"/>
    </row>
    <row r="38" ht="47.25" customHeight="1">
      <c r="A38" s="188" t="n">
        <v>11</v>
      </c>
      <c r="B38" s="163">
        <f>IF('0 AVAL'!B46 = "", "", '0 AVAL'!B46)</f>
        <v/>
      </c>
      <c r="C38" s="163">
        <f>IF('0 AVAL'!C46 = "", "", '0 AVAL'!C46)</f>
        <v/>
      </c>
      <c r="D38" s="145" t="n"/>
      <c r="E38" s="442" t="n"/>
      <c r="F38" s="387" t="n"/>
      <c r="G38" s="387" t="n"/>
      <c r="H38" s="387" t="n"/>
      <c r="I38" s="387" t="n"/>
      <c r="J38" s="387" t="n"/>
      <c r="K38" s="387" t="n"/>
      <c r="L38" s="387" t="n"/>
      <c r="M38" s="387" t="n"/>
      <c r="N38" s="406" t="n"/>
    </row>
    <row r="39" ht="47.25" customHeight="1">
      <c r="A39" s="188" t="n">
        <v>12</v>
      </c>
      <c r="B39" s="163">
        <f>IF('0 AVAL'!B47 = "", "", '0 AVAL'!B47)</f>
        <v/>
      </c>
      <c r="C39" s="163">
        <f>IF('0 AVAL'!C47 = "", "", '0 AVAL'!C47)</f>
        <v/>
      </c>
      <c r="D39" s="145" t="n"/>
      <c r="E39" s="442" t="n"/>
      <c r="F39" s="387" t="n"/>
      <c r="G39" s="387" t="n"/>
      <c r="H39" s="387" t="n"/>
      <c r="I39" s="387" t="n"/>
      <c r="J39" s="387" t="n"/>
      <c r="K39" s="387" t="n"/>
      <c r="L39" s="387" t="n"/>
      <c r="M39" s="387" t="n"/>
      <c r="N39" s="406" t="n"/>
    </row>
    <row r="40" ht="47.25" customHeight="1">
      <c r="A40" s="188" t="n">
        <v>13</v>
      </c>
      <c r="B40" s="163">
        <f>IF('0 AVAL'!B48 = "", "", '0 AVAL'!B48)</f>
        <v/>
      </c>
      <c r="C40" s="163">
        <f>IF('0 AVAL'!C48 = "", "", '0 AVAL'!C48)</f>
        <v/>
      </c>
      <c r="D40" s="145" t="n"/>
      <c r="E40" s="442" t="n"/>
      <c r="F40" s="387" t="n"/>
      <c r="G40" s="387" t="n"/>
      <c r="H40" s="387" t="n"/>
      <c r="I40" s="387" t="n"/>
      <c r="J40" s="387" t="n"/>
      <c r="K40" s="387" t="n"/>
      <c r="L40" s="387" t="n"/>
      <c r="M40" s="387" t="n"/>
      <c r="N40" s="406" t="n"/>
    </row>
    <row r="41" ht="47.25" customHeight="1">
      <c r="A41" s="188" t="n">
        <v>14</v>
      </c>
      <c r="B41" s="163">
        <f>IF('0 AVAL'!B49 = "", "", '0 AVAL'!B49)</f>
        <v/>
      </c>
      <c r="C41" s="163">
        <f>IF('0 AVAL'!C49 = "", "", '0 AVAL'!C49)</f>
        <v/>
      </c>
      <c r="D41" s="145" t="n"/>
      <c r="E41" s="442" t="n"/>
      <c r="F41" s="387" t="n"/>
      <c r="G41" s="387" t="n"/>
      <c r="H41" s="387" t="n"/>
      <c r="I41" s="387" t="n"/>
      <c r="J41" s="387" t="n"/>
      <c r="K41" s="387" t="n"/>
      <c r="L41" s="387" t="n"/>
      <c r="M41" s="387" t="n"/>
      <c r="N41" s="406" t="n"/>
    </row>
    <row r="42" ht="47.25" customHeight="1">
      <c r="A42" s="188" t="n">
        <v>15</v>
      </c>
      <c r="B42" s="163">
        <f>IF('0 AVAL'!B50 = "", "", '0 AVAL'!B50)</f>
        <v/>
      </c>
      <c r="C42" s="163">
        <f>IF('0 AVAL'!C50 = "", "", '0 AVAL'!C50)</f>
        <v/>
      </c>
      <c r="D42" s="145" t="n"/>
      <c r="E42" s="442" t="n"/>
      <c r="F42" s="387" t="n"/>
      <c r="G42" s="387" t="n"/>
      <c r="H42" s="387" t="n"/>
      <c r="I42" s="387" t="n"/>
      <c r="J42" s="387" t="n"/>
      <c r="K42" s="387" t="n"/>
      <c r="L42" s="387" t="n"/>
      <c r="M42" s="387" t="n"/>
      <c r="N42" s="406" t="n"/>
    </row>
    <row r="43" ht="47.25" customHeight="1">
      <c r="A43" s="188" t="n">
        <v>16</v>
      </c>
      <c r="B43" s="163">
        <f>IF('0 AVAL'!B51 = "", "", '0 AVAL'!B51)</f>
        <v/>
      </c>
      <c r="C43" s="163">
        <f>IF('0 AVAL'!C51 = "", "", '0 AVAL'!C51)</f>
        <v/>
      </c>
      <c r="D43" s="145" t="n"/>
      <c r="E43" s="442" t="n"/>
      <c r="F43" s="387" t="n"/>
      <c r="G43" s="387" t="n"/>
      <c r="H43" s="387" t="n"/>
      <c r="I43" s="387" t="n"/>
      <c r="J43" s="387" t="n"/>
      <c r="K43" s="387" t="n"/>
      <c r="L43" s="387" t="n"/>
      <c r="M43" s="387" t="n"/>
      <c r="N43" s="406" t="n"/>
    </row>
    <row r="44" ht="47.25" customHeight="1">
      <c r="A44" s="188" t="n">
        <v>17</v>
      </c>
      <c r="B44" s="163">
        <f>IF('0 AVAL'!B52 = "", "", '0 AVAL'!B52)</f>
        <v/>
      </c>
      <c r="C44" s="163">
        <f>IF('0 AVAL'!C52 = "", "", '0 AVAL'!C52)</f>
        <v/>
      </c>
      <c r="D44" s="145" t="n"/>
      <c r="E44" s="442" t="n"/>
      <c r="F44" s="387" t="n"/>
      <c r="G44" s="387" t="n"/>
      <c r="H44" s="387" t="n"/>
      <c r="I44" s="387" t="n"/>
      <c r="J44" s="387" t="n"/>
      <c r="K44" s="387" t="n"/>
      <c r="L44" s="387" t="n"/>
      <c r="M44" s="387" t="n"/>
      <c r="N44" s="406" t="n"/>
    </row>
    <row r="45" ht="47.25" customHeight="1">
      <c r="A45" s="188" t="n">
        <v>18</v>
      </c>
      <c r="B45" s="163">
        <f>IF('0 AVAL'!B53 = "", "", '0 AVAL'!B53)</f>
        <v/>
      </c>
      <c r="C45" s="163">
        <f>IF('0 AVAL'!C53 = "", "", '0 AVAL'!C53)</f>
        <v/>
      </c>
      <c r="D45" s="145" t="n"/>
      <c r="E45" s="442" t="n"/>
      <c r="F45" s="387" t="n"/>
      <c r="G45" s="387" t="n"/>
      <c r="H45" s="387" t="n"/>
      <c r="I45" s="387" t="n"/>
      <c r="J45" s="387" t="n"/>
      <c r="K45" s="387" t="n"/>
      <c r="L45" s="387" t="n"/>
      <c r="M45" s="387" t="n"/>
      <c r="N45" s="406" t="n"/>
    </row>
    <row r="46" ht="47.25" customHeight="1">
      <c r="A46" s="188" t="n">
        <v>19</v>
      </c>
      <c r="B46" s="163">
        <f>IF('0 AVAL'!B54 = "", "", '0 AVAL'!B54)</f>
        <v/>
      </c>
      <c r="C46" s="163">
        <f>IF('0 AVAL'!C54 = "", "", '0 AVAL'!C54)</f>
        <v/>
      </c>
      <c r="D46" s="145" t="n"/>
      <c r="E46" s="442" t="n"/>
      <c r="F46" s="387" t="n"/>
      <c r="G46" s="387" t="n"/>
      <c r="H46" s="387" t="n"/>
      <c r="I46" s="387" t="n"/>
      <c r="J46" s="387" t="n"/>
      <c r="K46" s="387" t="n"/>
      <c r="L46" s="387" t="n"/>
      <c r="M46" s="387" t="n"/>
      <c r="N46" s="406" t="n"/>
    </row>
    <row r="47" ht="47.25" customHeight="1">
      <c r="A47" s="188" t="n">
        <v>20</v>
      </c>
      <c r="B47" s="163">
        <f>IF('0 AVAL'!B55 = "", "", '0 AVAL'!B55)</f>
        <v/>
      </c>
      <c r="C47" s="163">
        <f>IF('0 AVAL'!C55 = "", "", '0 AVAL'!C55)</f>
        <v/>
      </c>
      <c r="D47" s="145" t="n"/>
      <c r="E47" s="442" t="n"/>
      <c r="F47" s="387" t="n"/>
      <c r="G47" s="387" t="n"/>
      <c r="H47" s="387" t="n"/>
      <c r="I47" s="387" t="n"/>
      <c r="J47" s="387" t="n"/>
      <c r="K47" s="387" t="n"/>
      <c r="L47" s="387" t="n"/>
      <c r="M47" s="387" t="n"/>
      <c r="N47" s="406" t="n"/>
    </row>
    <row r="48" ht="47.25" customHeight="1">
      <c r="A48" s="188" t="n">
        <v>21</v>
      </c>
      <c r="B48" s="163">
        <f>IF('0 AVAL'!B56 = "", "", '0 AVAL'!B56)</f>
        <v/>
      </c>
      <c r="C48" s="163">
        <f>IF('0 AVAL'!C56 = "", "", '0 AVAL'!C56)</f>
        <v/>
      </c>
      <c r="D48" s="145" t="n"/>
      <c r="E48" s="442" t="n"/>
      <c r="F48" s="387" t="n"/>
      <c r="G48" s="387" t="n"/>
      <c r="H48" s="387" t="n"/>
      <c r="I48" s="387" t="n"/>
      <c r="J48" s="387" t="n"/>
      <c r="K48" s="387" t="n"/>
      <c r="L48" s="387" t="n"/>
      <c r="M48" s="387" t="n"/>
      <c r="N48" s="406" t="n"/>
    </row>
    <row r="49" ht="47.25" customHeight="1">
      <c r="A49" s="188" t="n">
        <v>22</v>
      </c>
      <c r="B49" s="163">
        <f>IF('0 AVAL'!B57 = "", "", '0 AVAL'!B57)</f>
        <v/>
      </c>
      <c r="C49" s="163">
        <f>IF('0 AVAL'!C57 = "", "", '0 AVAL'!C57)</f>
        <v/>
      </c>
      <c r="D49" s="145" t="n"/>
      <c r="E49" s="442" t="n"/>
      <c r="F49" s="387" t="n"/>
      <c r="G49" s="387" t="n"/>
      <c r="H49" s="387" t="n"/>
      <c r="I49" s="387" t="n"/>
      <c r="J49" s="387" t="n"/>
      <c r="K49" s="387" t="n"/>
      <c r="L49" s="387" t="n"/>
      <c r="M49" s="387" t="n"/>
      <c r="N49" s="406" t="n"/>
    </row>
    <row r="50" ht="47.25" customHeight="1">
      <c r="A50" s="188" t="n">
        <v>23</v>
      </c>
      <c r="B50" s="163">
        <f>IF('0 AVAL'!B58 = "", "", '0 AVAL'!B58)</f>
        <v/>
      </c>
      <c r="C50" s="163">
        <f>IF('0 AVAL'!C58 = "", "", '0 AVAL'!C58)</f>
        <v/>
      </c>
      <c r="D50" s="145" t="n"/>
      <c r="E50" s="442" t="n"/>
      <c r="F50" s="387" t="n"/>
      <c r="G50" s="387" t="n"/>
      <c r="H50" s="387" t="n"/>
      <c r="I50" s="387" t="n"/>
      <c r="J50" s="387" t="n"/>
      <c r="K50" s="387" t="n"/>
      <c r="L50" s="387" t="n"/>
      <c r="M50" s="387" t="n"/>
      <c r="N50" s="406" t="n"/>
    </row>
    <row r="51" ht="47.25" customHeight="1">
      <c r="A51" s="188" t="n">
        <v>24</v>
      </c>
      <c r="B51" s="163">
        <f>IF('0 AVAL'!B59 = "", "", '0 AVAL'!B59)</f>
        <v/>
      </c>
      <c r="C51" s="163">
        <f>IF('0 AVAL'!C59 = "", "", '0 AVAL'!C59)</f>
        <v/>
      </c>
      <c r="D51" s="145" t="n"/>
      <c r="E51" s="442" t="n"/>
      <c r="F51" s="387" t="n"/>
      <c r="G51" s="387" t="n"/>
      <c r="H51" s="387" t="n"/>
      <c r="I51" s="387" t="n"/>
      <c r="J51" s="387" t="n"/>
      <c r="K51" s="387" t="n"/>
      <c r="L51" s="387" t="n"/>
      <c r="M51" s="387" t="n"/>
      <c r="N51" s="406" t="n"/>
    </row>
    <row r="52" ht="47.25" customHeight="1">
      <c r="A52" s="188" t="n">
        <v>25</v>
      </c>
      <c r="B52" s="163">
        <f>IF('0 AVAL'!B60 = "", "", '0 AVAL'!B60)</f>
        <v/>
      </c>
      <c r="C52" s="163">
        <f>IF('0 AVAL'!C60 = "", "", '0 AVAL'!C60)</f>
        <v/>
      </c>
      <c r="D52" s="145" t="n"/>
      <c r="E52" s="442" t="n"/>
      <c r="F52" s="387" t="n"/>
      <c r="G52" s="387" t="n"/>
      <c r="H52" s="387" t="n"/>
      <c r="I52" s="387" t="n"/>
      <c r="J52" s="387" t="n"/>
      <c r="K52" s="387" t="n"/>
      <c r="L52" s="387" t="n"/>
      <c r="M52" s="387" t="n"/>
      <c r="N52" s="406" t="n"/>
    </row>
    <row r="53" ht="47.25" customHeight="1">
      <c r="A53" s="188" t="n">
        <v>26</v>
      </c>
      <c r="B53" s="163">
        <f>IF('0 AVAL'!B61 = "", "", '0 AVAL'!B61)</f>
        <v/>
      </c>
      <c r="C53" s="163">
        <f>IF('0 AVAL'!C61 = "", "", '0 AVAL'!C61)</f>
        <v/>
      </c>
      <c r="D53" s="145" t="n"/>
      <c r="E53" s="442" t="n"/>
      <c r="F53" s="387" t="n"/>
      <c r="G53" s="387" t="n"/>
      <c r="H53" s="387" t="n"/>
      <c r="I53" s="387" t="n"/>
      <c r="J53" s="387" t="n"/>
      <c r="K53" s="387" t="n"/>
      <c r="L53" s="387" t="n"/>
      <c r="M53" s="387" t="n"/>
      <c r="N53" s="406" t="n"/>
    </row>
    <row r="54" ht="47.25" customHeight="1">
      <c r="A54" s="188" t="n">
        <v>27</v>
      </c>
      <c r="B54" s="163">
        <f>IF('0 AVAL'!B62 = "", "", '0 AVAL'!B62)</f>
        <v/>
      </c>
      <c r="C54" s="163">
        <f>IF('0 AVAL'!C62 = "", "", '0 AVAL'!C62)</f>
        <v/>
      </c>
      <c r="D54" s="145" t="n"/>
      <c r="E54" s="442" t="n"/>
      <c r="F54" s="387" t="n"/>
      <c r="G54" s="387" t="n"/>
      <c r="H54" s="387" t="n"/>
      <c r="I54" s="387" t="n"/>
      <c r="J54" s="387" t="n"/>
      <c r="K54" s="387" t="n"/>
      <c r="L54" s="387" t="n"/>
      <c r="M54" s="387" t="n"/>
      <c r="N54" s="406" t="n"/>
    </row>
    <row r="55" ht="47.25" customHeight="1">
      <c r="A55" s="188" t="n">
        <v>28</v>
      </c>
      <c r="B55" s="163">
        <f>IF('0 AVAL'!B63 = "", "", '0 AVAL'!B63)</f>
        <v/>
      </c>
      <c r="C55" s="163">
        <f>IF('0 AVAL'!C63 = "", "", '0 AVAL'!C63)</f>
        <v/>
      </c>
      <c r="D55" s="145" t="n"/>
      <c r="E55" s="442" t="n"/>
      <c r="F55" s="387" t="n"/>
      <c r="G55" s="387" t="n"/>
      <c r="H55" s="387" t="n"/>
      <c r="I55" s="387" t="n"/>
      <c r="J55" s="387" t="n"/>
      <c r="K55" s="387" t="n"/>
      <c r="L55" s="387" t="n"/>
      <c r="M55" s="387" t="n"/>
      <c r="N55" s="406" t="n"/>
    </row>
    <row r="56" ht="47.25" customHeight="1">
      <c r="A56" s="188" t="n">
        <v>29</v>
      </c>
      <c r="B56" s="163">
        <f>IF('0 AVAL'!B64 = "", "", '0 AVAL'!B64)</f>
        <v/>
      </c>
      <c r="C56" s="163">
        <f>IF('0 AVAL'!C64 = "", "", '0 AVAL'!C64)</f>
        <v/>
      </c>
      <c r="D56" s="145" t="n"/>
      <c r="E56" s="442" t="n"/>
      <c r="F56" s="387" t="n"/>
      <c r="G56" s="387" t="n"/>
      <c r="H56" s="387" t="n"/>
      <c r="I56" s="387" t="n"/>
      <c r="J56" s="387" t="n"/>
      <c r="K56" s="387" t="n"/>
      <c r="L56" s="387" t="n"/>
      <c r="M56" s="387" t="n"/>
      <c r="N56" s="406" t="n"/>
    </row>
    <row r="57" ht="47.25" customHeight="1">
      <c r="A57" s="188" t="n">
        <v>30</v>
      </c>
      <c r="B57" s="163">
        <f>IF('0 AVAL'!B65 = "", "", '0 AVAL'!B65)</f>
        <v/>
      </c>
      <c r="C57" s="163">
        <f>IF('0 AVAL'!C65 = "", "", '0 AVAL'!C65)</f>
        <v/>
      </c>
      <c r="D57" s="145" t="n"/>
      <c r="E57" s="442" t="n"/>
      <c r="F57" s="387" t="n"/>
      <c r="G57" s="387" t="n"/>
      <c r="H57" s="387" t="n"/>
      <c r="I57" s="387" t="n"/>
      <c r="J57" s="387" t="n"/>
      <c r="K57" s="387" t="n"/>
      <c r="L57" s="387" t="n"/>
      <c r="M57" s="387" t="n"/>
      <c r="N57" s="406" t="n"/>
    </row>
    <row r="58" ht="47.25" customHeight="1">
      <c r="A58" s="188" t="n">
        <v>31</v>
      </c>
      <c r="B58" s="163">
        <f>IF('0 AVAL'!B66 = "", "", '0 AVAL'!B66)</f>
        <v/>
      </c>
      <c r="C58" s="163">
        <f>IF('0 AVAL'!C66 = "", "", '0 AVAL'!C66)</f>
        <v/>
      </c>
      <c r="D58" s="145" t="n"/>
      <c r="E58" s="374" t="n"/>
      <c r="F58" s="375" t="n"/>
      <c r="G58" s="375" t="n"/>
      <c r="H58" s="375" t="n"/>
      <c r="I58" s="375" t="n"/>
      <c r="J58" s="375" t="n"/>
      <c r="K58" s="375" t="n"/>
      <c r="L58" s="375" t="n"/>
      <c r="M58" s="375" t="n"/>
      <c r="N58" s="376" t="n"/>
    </row>
    <row r="59" ht="47.25" customHeight="1">
      <c r="A59" s="188" t="n">
        <v>32</v>
      </c>
      <c r="B59" s="163">
        <f>IF('0 AVAL'!B67 = "", "", '0 AVAL'!B67)</f>
        <v/>
      </c>
      <c r="C59" s="163">
        <f>IF('0 AVAL'!C67 = "", "", '0 AVAL'!C67)</f>
        <v/>
      </c>
      <c r="D59" s="145" t="n"/>
      <c r="E59" s="374" t="n"/>
      <c r="F59" s="375" t="n"/>
      <c r="G59" s="375" t="n"/>
      <c r="H59" s="375" t="n"/>
      <c r="I59" s="375" t="n"/>
      <c r="J59" s="375" t="n"/>
      <c r="K59" s="375" t="n"/>
      <c r="L59" s="375" t="n"/>
      <c r="M59" s="375" t="n"/>
      <c r="N59" s="376" t="n"/>
    </row>
    <row r="60" ht="47.25" customHeight="1">
      <c r="A60" s="188" t="n">
        <v>33</v>
      </c>
      <c r="B60" s="163">
        <f>IF('0 AVAL'!B68 = "", "", '0 AVAL'!B68)</f>
        <v/>
      </c>
      <c r="C60" s="163">
        <f>IF('0 AVAL'!C68 = "", "", '0 AVAL'!C68)</f>
        <v/>
      </c>
      <c r="D60" s="145" t="n"/>
      <c r="E60" s="374" t="n"/>
      <c r="F60" s="375" t="n"/>
      <c r="G60" s="375" t="n"/>
      <c r="H60" s="375" t="n"/>
      <c r="I60" s="375" t="n"/>
      <c r="J60" s="375" t="n"/>
      <c r="K60" s="375" t="n"/>
      <c r="L60" s="375" t="n"/>
      <c r="M60" s="375" t="n"/>
      <c r="N60" s="376" t="n"/>
    </row>
    <row r="61" ht="47.25" customHeight="1">
      <c r="A61" s="188" t="n">
        <v>34</v>
      </c>
      <c r="B61" s="163">
        <f>IF('0 AVAL'!B69 = "", "", '0 AVAL'!B69)</f>
        <v/>
      </c>
      <c r="C61" s="163">
        <f>IF('0 AVAL'!C69 = "", "", '0 AVAL'!C69)</f>
        <v/>
      </c>
      <c r="D61" s="145" t="n"/>
      <c r="E61" s="374" t="n"/>
      <c r="F61" s="375" t="n"/>
      <c r="G61" s="375" t="n"/>
      <c r="H61" s="375" t="n"/>
      <c r="I61" s="375" t="n"/>
      <c r="J61" s="375" t="n"/>
      <c r="K61" s="375" t="n"/>
      <c r="L61" s="375" t="n"/>
      <c r="M61" s="375" t="n"/>
      <c r="N61" s="376" t="n"/>
    </row>
    <row r="62" ht="47.25" customHeight="1">
      <c r="A62" s="188" t="n">
        <v>35</v>
      </c>
      <c r="B62" s="163">
        <f>IF('0 AVAL'!B70 = "", "", '0 AVAL'!B70)</f>
        <v/>
      </c>
      <c r="C62" s="163">
        <f>IF('0 AVAL'!C70 = "", "", '0 AVAL'!C70)</f>
        <v/>
      </c>
      <c r="D62" s="145" t="n"/>
      <c r="E62" s="374" t="n"/>
      <c r="F62" s="375" t="n"/>
      <c r="G62" s="375" t="n"/>
      <c r="H62" s="375" t="n"/>
      <c r="I62" s="375" t="n"/>
      <c r="J62" s="375" t="n"/>
      <c r="K62" s="375" t="n"/>
      <c r="L62" s="375" t="n"/>
      <c r="M62" s="375" t="n"/>
      <c r="N62" s="376" t="n"/>
    </row>
    <row r="63" ht="47.25" customHeight="1">
      <c r="A63" s="188" t="n">
        <v>36</v>
      </c>
      <c r="B63" s="163">
        <f>IF('0 AVAL'!B71 = "", "", '0 AVAL'!B71)</f>
        <v/>
      </c>
      <c r="C63" s="163">
        <f>IF('0 AVAL'!C71 = "", "", '0 AVAL'!C71)</f>
        <v/>
      </c>
      <c r="D63" s="145" t="n"/>
      <c r="E63" s="442" t="n"/>
      <c r="F63" s="387" t="n"/>
      <c r="G63" s="387" t="n"/>
      <c r="H63" s="387" t="n"/>
      <c r="I63" s="387" t="n"/>
      <c r="J63" s="387" t="n"/>
      <c r="K63" s="387" t="n"/>
      <c r="L63" s="387" t="n"/>
      <c r="M63" s="387" t="n"/>
      <c r="N63" s="406" t="n"/>
    </row>
    <row r="64" ht="47.25" customHeight="1">
      <c r="A64" s="188" t="n">
        <v>37</v>
      </c>
      <c r="B64" s="163">
        <f>IF('0 AVAL'!B72 = "", "", '0 AVAL'!B72)</f>
        <v/>
      </c>
      <c r="C64" s="163">
        <f>IF('0 AVAL'!C72 = "", "", '0 AVAL'!C72)</f>
        <v/>
      </c>
      <c r="D64" s="145" t="n"/>
      <c r="E64" s="442" t="n"/>
      <c r="F64" s="387" t="n"/>
      <c r="G64" s="387" t="n"/>
      <c r="H64" s="387" t="n"/>
      <c r="I64" s="387" t="n"/>
      <c r="J64" s="387" t="n"/>
      <c r="K64" s="387" t="n"/>
      <c r="L64" s="387" t="n"/>
      <c r="M64" s="387" t="n"/>
      <c r="N64" s="406" t="n"/>
    </row>
    <row r="65" ht="47.25" customHeight="1">
      <c r="A65" s="188" t="n">
        <v>38</v>
      </c>
      <c r="B65" s="163">
        <f>IF('0 AVAL'!B73 = "", "", '0 AVAL'!B73)</f>
        <v/>
      </c>
      <c r="C65" s="163">
        <f>IF('0 AVAL'!C73 = "", "", '0 AVAL'!C73)</f>
        <v/>
      </c>
      <c r="D65" s="145" t="n"/>
      <c r="E65" s="442" t="n"/>
      <c r="F65" s="387" t="n"/>
      <c r="G65" s="387" t="n"/>
      <c r="H65" s="387" t="n"/>
      <c r="I65" s="387" t="n"/>
      <c r="J65" s="387" t="n"/>
      <c r="K65" s="387" t="n"/>
      <c r="L65" s="387" t="n"/>
      <c r="M65" s="387" t="n"/>
      <c r="N65" s="406" t="n"/>
    </row>
    <row r="66" ht="47.25" customHeight="1">
      <c r="A66" s="188" t="n">
        <v>39</v>
      </c>
      <c r="B66" s="163">
        <f>IF('0 AVAL'!B74 = "", "", '0 AVAL'!B74)</f>
        <v/>
      </c>
      <c r="C66" s="163">
        <f>IF('0 AVAL'!C74 = "", "", '0 AVAL'!C74)</f>
        <v/>
      </c>
      <c r="D66" s="145" t="n"/>
      <c r="E66" s="442" t="n"/>
      <c r="F66" s="387" t="n"/>
      <c r="G66" s="387" t="n"/>
      <c r="H66" s="387" t="n"/>
      <c r="I66" s="387" t="n"/>
      <c r="J66" s="387" t="n"/>
      <c r="K66" s="387" t="n"/>
      <c r="L66" s="387" t="n"/>
      <c r="M66" s="387" t="n"/>
      <c r="N66" s="406" t="n"/>
    </row>
    <row r="67" ht="54.75" customHeight="1">
      <c r="A67" s="188" t="n">
        <v>40</v>
      </c>
      <c r="B67" s="163">
        <f>IF('0 AVAL'!B75 = "", "", '0 AVAL'!B75)</f>
        <v/>
      </c>
      <c r="C67" s="163">
        <f>IF('0 AVAL'!C75 = "", "", '0 AVAL'!C75)</f>
        <v/>
      </c>
      <c r="D67" s="145" t="n"/>
      <c r="E67" s="442" t="n"/>
      <c r="F67" s="387" t="n"/>
      <c r="G67" s="387" t="n"/>
      <c r="H67" s="387" t="n"/>
      <c r="I67" s="387" t="n"/>
      <c r="J67" s="387" t="n"/>
      <c r="K67" s="387" t="n"/>
      <c r="L67" s="387" t="n"/>
      <c r="M67" s="387" t="n"/>
      <c r="N67" s="406" t="n"/>
    </row>
    <row r="68" ht="19.5" customHeight="1" thickBot="1"/>
    <row r="69" ht="54.75" customFormat="1" customHeight="1" s="37" thickBot="1">
      <c r="B69" s="443" t="inlineStr">
        <is>
          <t>4- Acords adoptats de caràcter col·legiat per l'equip docent. A partir dels resultats de les avaluacions del procés d'aprenentatge, es redefiniran propostes de millora del procés d'ensenyament.</t>
        </is>
      </c>
      <c r="C69" s="419" t="n"/>
      <c r="D69" s="419" t="n"/>
      <c r="E69" s="419" t="n"/>
      <c r="F69" s="419" t="n"/>
      <c r="G69" s="419" t="n"/>
      <c r="H69" s="419" t="n"/>
      <c r="I69" s="419" t="n"/>
      <c r="J69" s="419" t="n"/>
      <c r="K69" s="419" t="n"/>
      <c r="L69" s="419" t="n"/>
      <c r="M69" s="419" t="n"/>
      <c r="N69" s="420" t="n"/>
    </row>
    <row r="70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 ht="34.5" customFormat="1" customHeight="1" s="29">
      <c r="A71" s="129" t="n">
        <v>1</v>
      </c>
      <c r="B71" s="281" t="n"/>
      <c r="C71" s="387" t="n"/>
      <c r="D71" s="387" t="n"/>
      <c r="E71" s="387" t="n"/>
      <c r="F71" s="387" t="n"/>
      <c r="G71" s="387" t="n"/>
      <c r="H71" s="387" t="n"/>
      <c r="I71" s="387" t="n"/>
      <c r="J71" s="421" t="inlineStr">
        <is>
          <t xml:space="preserve">Acta elaborada per: XXXXX. XX:XXh </t>
        </is>
      </c>
      <c r="K71" s="398" t="n"/>
      <c r="L71" s="398" t="n"/>
      <c r="M71" s="398" t="n"/>
      <c r="N71" s="399" t="n"/>
    </row>
    <row r="72" ht="34.5" customFormat="1" customHeight="1" s="29">
      <c r="A72" s="129" t="n">
        <v>2</v>
      </c>
      <c r="B72" s="325" t="n"/>
      <c r="C72" s="394" t="n"/>
      <c r="D72" s="394" t="n"/>
      <c r="E72" s="394" t="n"/>
      <c r="F72" s="394" t="n"/>
      <c r="G72" s="394" t="n"/>
      <c r="H72" s="394" t="n"/>
      <c r="I72" s="394" t="n"/>
      <c r="J72" s="400" t="n"/>
      <c r="N72" s="401" t="n"/>
    </row>
    <row r="73" ht="34.5" customFormat="1" customHeight="1" s="29">
      <c r="A73" s="129" t="n">
        <v>3</v>
      </c>
      <c r="B73" s="325" t="n"/>
      <c r="C73" s="394" t="n"/>
      <c r="D73" s="394" t="n"/>
      <c r="E73" s="394" t="n"/>
      <c r="F73" s="394" t="n"/>
      <c r="G73" s="394" t="n"/>
      <c r="H73" s="394" t="n"/>
      <c r="I73" s="394" t="n"/>
      <c r="J73" s="400" t="n"/>
      <c r="N73" s="401" t="n"/>
    </row>
    <row r="74" ht="34.5" customFormat="1" customHeight="1" s="29">
      <c r="A74" s="129" t="n">
        <v>4</v>
      </c>
      <c r="B74" s="325" t="n"/>
      <c r="C74" s="394" t="n"/>
      <c r="D74" s="394" t="n"/>
      <c r="E74" s="394" t="n"/>
      <c r="F74" s="394" t="n"/>
      <c r="G74" s="394" t="n"/>
      <c r="H74" s="394" t="n"/>
      <c r="I74" s="394" t="n"/>
      <c r="J74" s="400" t="n"/>
      <c r="N74" s="401" t="n"/>
    </row>
    <row r="75" ht="34.5" customFormat="1" customHeight="1" s="29">
      <c r="A75" s="129" t="n">
        <v>5</v>
      </c>
      <c r="B75" s="325" t="n"/>
      <c r="C75" s="394" t="n"/>
      <c r="D75" s="394" t="n"/>
      <c r="E75" s="394" t="n"/>
      <c r="F75" s="394" t="n"/>
      <c r="G75" s="394" t="n"/>
      <c r="H75" s="394" t="n"/>
      <c r="I75" s="394" t="n"/>
      <c r="J75" s="400" t="n"/>
      <c r="N75" s="401" t="n"/>
    </row>
    <row r="76" ht="34.5" customFormat="1" customHeight="1" s="29">
      <c r="A76" s="129" t="n">
        <v>6</v>
      </c>
      <c r="B76" s="325" t="n"/>
      <c r="C76" s="394" t="n"/>
      <c r="D76" s="394" t="n"/>
      <c r="E76" s="394" t="n"/>
      <c r="F76" s="394" t="n"/>
      <c r="G76" s="394" t="n"/>
      <c r="H76" s="394" t="n"/>
      <c r="I76" s="394" t="n"/>
      <c r="J76" s="400" t="n"/>
      <c r="N76" s="401" t="n"/>
    </row>
    <row r="77" ht="34.5" customFormat="1" customHeight="1" s="29" thickBot="1">
      <c r="A77" s="129" t="n">
        <v>7</v>
      </c>
      <c r="B77" s="319" t="n"/>
      <c r="C77" s="403" t="n"/>
      <c r="D77" s="403" t="n"/>
      <c r="E77" s="403" t="n"/>
      <c r="F77" s="403" t="n"/>
      <c r="G77" s="403" t="n"/>
      <c r="H77" s="403" t="n"/>
      <c r="I77" s="403" t="n"/>
      <c r="J77" s="402" t="n"/>
      <c r="K77" s="403" t="n"/>
      <c r="L77" s="403" t="n"/>
      <c r="M77" s="403" t="n"/>
      <c r="N77" s="404" t="n"/>
    </row>
    <row r="78">
      <c r="B78" s="282" t="inlineStr">
        <is>
          <t>En aquest document s'està realitzant un tractament de dades de l'alumnat que està regulat per la normativa vigent en matèria de Protecció de Dades de Caràcter Personal (LOPD 3/2018 i Resolució Conselleria
Educació, Investigació, Cultura i Esport del 28/6/2018). Recorda que les dades han de ser tractats de manera responsable i que has de guardar secret professional i no cedir o divulgar les dades ací contingudes.</t>
        </is>
      </c>
      <c r="C78" s="386" t="n"/>
      <c r="D78" s="386" t="n"/>
      <c r="E78" s="386" t="n"/>
      <c r="F78" s="386" t="n"/>
      <c r="G78" s="386" t="n"/>
      <c r="H78" s="386" t="n"/>
      <c r="I78" s="386" t="n"/>
      <c r="J78" s="386" t="n"/>
      <c r="K78" s="386" t="n"/>
      <c r="L78" s="386" t="n"/>
      <c r="M78" s="386" t="n"/>
      <c r="N78" s="386" t="n"/>
    </row>
    <row r="79" ht="15.6" customHeight="1"/>
  </sheetData>
  <mergeCells count="66">
    <mergeCell ref="E36:N36"/>
    <mergeCell ref="E49:N49"/>
    <mergeCell ref="E27:N27"/>
    <mergeCell ref="E45:N45"/>
    <mergeCell ref="B75:I75"/>
    <mergeCell ref="B11:M11"/>
    <mergeCell ref="B9:N9"/>
    <mergeCell ref="D2:F6"/>
    <mergeCell ref="E57:N57"/>
    <mergeCell ref="J3:M3"/>
    <mergeCell ref="B72:I72"/>
    <mergeCell ref="B14:M14"/>
    <mergeCell ref="N14:Y14"/>
    <mergeCell ref="B15:N15"/>
    <mergeCell ref="E54:N54"/>
    <mergeCell ref="B71:I71"/>
    <mergeCell ref="E32:N32"/>
    <mergeCell ref="B20:N20"/>
    <mergeCell ref="E41:N41"/>
    <mergeCell ref="E66:N66"/>
    <mergeCell ref="E37:N37"/>
    <mergeCell ref="E53:N53"/>
    <mergeCell ref="B77:I77"/>
    <mergeCell ref="E47:N47"/>
    <mergeCell ref="E56:N56"/>
    <mergeCell ref="E50:N50"/>
    <mergeCell ref="B2:C6"/>
    <mergeCell ref="E43:N43"/>
    <mergeCell ref="B78:N79"/>
    <mergeCell ref="B25:N25"/>
    <mergeCell ref="J5:M5"/>
    <mergeCell ref="E55:N55"/>
    <mergeCell ref="E42:N42"/>
    <mergeCell ref="B73:I73"/>
    <mergeCell ref="E52:N52"/>
    <mergeCell ref="E67:N67"/>
    <mergeCell ref="E33:N33"/>
    <mergeCell ref="G2:G6"/>
    <mergeCell ref="E39:N39"/>
    <mergeCell ref="E48:N48"/>
    <mergeCell ref="B12:N12"/>
    <mergeCell ref="E64:N64"/>
    <mergeCell ref="E44:N44"/>
    <mergeCell ref="B18:N18"/>
    <mergeCell ref="E29:N29"/>
    <mergeCell ref="E35:N35"/>
    <mergeCell ref="E51:N51"/>
    <mergeCell ref="J6:M6"/>
    <mergeCell ref="E38:N38"/>
    <mergeCell ref="E63:N63"/>
    <mergeCell ref="E28:N28"/>
    <mergeCell ref="B74:I74"/>
    <mergeCell ref="N11:Y11"/>
    <mergeCell ref="E31:N31"/>
    <mergeCell ref="E40:N40"/>
    <mergeCell ref="E34:N34"/>
    <mergeCell ref="J4:M4"/>
    <mergeCell ref="J2:N2"/>
    <mergeCell ref="E65:N65"/>
    <mergeCell ref="E30:N30"/>
    <mergeCell ref="B22:N23"/>
    <mergeCell ref="B76:I76"/>
    <mergeCell ref="B69:N69"/>
    <mergeCell ref="J7:M7"/>
    <mergeCell ref="E46:N46"/>
    <mergeCell ref="J71:N77"/>
  </mergeCells>
  <dataValidations count="1">
    <dataValidation sqref="J7:M7" showDropDown="0" showInputMessage="1" showErrorMessage="1" allowBlank="1" type="date">
      <formula1>45170</formula1>
      <formula2>47664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A1:Y79"/>
  <sheetViews>
    <sheetView topLeftCell="A24" workbookViewId="0">
      <selection activeCell="B28" sqref="B28:C67"/>
    </sheetView>
  </sheetViews>
  <sheetFormatPr baseColWidth="10" defaultColWidth="0" defaultRowHeight="15.75" zeroHeight="1"/>
  <cols>
    <col width="3.265625" customWidth="1" style="248" min="1" max="1"/>
    <col width="21.73046875" customWidth="1" style="248" min="2" max="2"/>
    <col width="25.265625" customWidth="1" style="248" min="3" max="3"/>
    <col width="12.59765625" customWidth="1" style="248" min="4" max="8"/>
    <col width="16.59765625" customWidth="1" style="248" min="9" max="9"/>
    <col width="12.59765625" customWidth="1" style="248" min="10" max="13"/>
    <col width="2.73046875" customWidth="1" style="248" min="14" max="14"/>
    <col hidden="1" style="248" min="15" max="22"/>
    <col hidden="1" width="4.3984375" customWidth="1" style="248" min="23" max="181"/>
    <col hidden="1" style="248" min="182" max="16383"/>
    <col width="5" customWidth="1" style="248" min="16384" max="16384"/>
  </cols>
  <sheetData>
    <row r="1" ht="29.25" customHeight="1">
      <c r="B1" s="29" t="n"/>
      <c r="C1" s="29" t="n"/>
      <c r="D1" s="29" t="n"/>
      <c r="E1" s="29" t="n"/>
      <c r="F1" s="29" t="n"/>
      <c r="G1" s="29" t="n"/>
      <c r="H1" s="29" t="n"/>
      <c r="I1" s="177" t="inlineStr">
        <is>
          <t xml:space="preserve">Reunió equip docent </t>
        </is>
      </c>
      <c r="J1" s="30" t="n"/>
      <c r="K1" s="30" t="n"/>
      <c r="L1" s="31" t="inlineStr">
        <is>
          <t>Ed01 - Setem.25</t>
        </is>
      </c>
      <c r="M1" s="30" t="n"/>
    </row>
    <row r="2" ht="15.75" customHeight="1">
      <c r="B2" s="197" t="e">
        <v>#VALUE!</v>
      </c>
      <c r="D2" s="197" t="e">
        <v>#VALUE!</v>
      </c>
      <c r="G2" s="197" t="n"/>
      <c r="H2" s="197" t="n"/>
      <c r="J2" s="248" t="n"/>
    </row>
    <row r="3" ht="15.75" customHeight="1">
      <c r="H3" s="197" t="n"/>
      <c r="I3" s="70" t="inlineStr">
        <is>
          <t>GRUP</t>
        </is>
      </c>
      <c r="J3" s="198">
        <f>IF(INDEX!G3 = "", "", INDEX!G3)</f>
        <v/>
      </c>
      <c r="K3" s="387" t="n"/>
      <c r="L3" s="387" t="n"/>
      <c r="M3" s="387" t="n"/>
    </row>
    <row r="4" ht="15.75" customHeight="1">
      <c r="H4" s="197" t="n"/>
      <c r="I4" s="317" t="inlineStr">
        <is>
          <t>TUTOR/A</t>
        </is>
      </c>
      <c r="J4" s="198">
        <f>IF(INDEX!G4 = "", "", INDEX!G4)</f>
        <v/>
      </c>
      <c r="K4" s="387" t="n"/>
      <c r="L4" s="387" t="n"/>
      <c r="M4" s="387" t="n"/>
    </row>
    <row r="5" hidden="1" ht="15.75" customHeight="1">
      <c r="H5" s="197" t="n"/>
      <c r="J5" s="198" t="n"/>
      <c r="K5" s="387" t="n"/>
      <c r="L5" s="387" t="n"/>
      <c r="M5" s="387" t="n"/>
    </row>
    <row r="6" ht="15.75" customHeight="1" thickBot="1">
      <c r="H6" s="197" t="n"/>
      <c r="I6" s="71" t="inlineStr">
        <is>
          <t>CURS ESCOLAR</t>
        </is>
      </c>
      <c r="J6" s="198">
        <f>INDEX!G5</f>
        <v/>
      </c>
      <c r="K6" s="387" t="n"/>
      <c r="L6" s="387" t="n"/>
      <c r="M6" s="387" t="n"/>
    </row>
    <row r="7">
      <c r="B7" s="29" t="n"/>
      <c r="C7" s="29" t="n"/>
      <c r="D7" s="197" t="n"/>
      <c r="E7" s="197" t="n"/>
      <c r="F7" s="197" t="n"/>
      <c r="G7" s="197" t="n"/>
      <c r="H7" s="197" t="n"/>
      <c r="I7" s="73" t="inlineStr">
        <is>
          <t>DATA REUNIÓ</t>
        </is>
      </c>
      <c r="J7" s="249" t="n"/>
      <c r="K7" s="386" t="n"/>
      <c r="L7" s="386" t="n"/>
      <c r="M7" s="386" t="n"/>
    </row>
    <row r="9" ht="21" customFormat="1" customHeight="1" s="37">
      <c r="B9" s="196" t="inlineStr">
        <is>
          <t>1- Seguiment i evolució del grup</t>
        </is>
      </c>
    </row>
    <row r="11" ht="15.6" customHeight="1">
      <c r="B11" s="250" t="inlineStr">
        <is>
          <t>Revisió d'acords anteriors</t>
        </is>
      </c>
      <c r="N11" s="250" t="n"/>
    </row>
    <row r="12" ht="56.25" customHeight="1">
      <c r="B12" s="437" t="n"/>
      <c r="C12" s="383" t="n"/>
      <c r="D12" s="383" t="n"/>
      <c r="E12" s="383" t="n"/>
      <c r="F12" s="383" t="n"/>
      <c r="G12" s="383" t="n"/>
      <c r="H12" s="383" t="n"/>
      <c r="I12" s="383" t="n"/>
      <c r="J12" s="383" t="n"/>
      <c r="K12" s="383" t="n"/>
      <c r="L12" s="383" t="n"/>
      <c r="M12" s="383" t="n"/>
      <c r="N12" s="424" t="n"/>
    </row>
    <row r="14">
      <c r="B14" s="250" t="inlineStr">
        <is>
          <t>Anàlisis del rendiment general del grup - Punts forts (aspectes positius en l'aprenentatge, participació, ambient de grup, etc.)</t>
        </is>
      </c>
      <c r="N14" s="250" t="n"/>
    </row>
    <row r="15" ht="56.25" customHeight="1">
      <c r="B15" s="437" t="n"/>
      <c r="C15" s="383" t="n"/>
      <c r="D15" s="383" t="n"/>
      <c r="E15" s="383" t="n"/>
      <c r="F15" s="383" t="n"/>
      <c r="G15" s="383" t="n"/>
      <c r="H15" s="383" t="n"/>
      <c r="I15" s="383" t="n"/>
      <c r="J15" s="383" t="n"/>
      <c r="K15" s="383" t="n"/>
      <c r="L15" s="383" t="n"/>
      <c r="M15" s="383" t="n"/>
      <c r="N15" s="424" t="n"/>
    </row>
    <row r="16" hidden="1" customHeight="1"/>
    <row r="17">
      <c r="B17" s="178" t="inlineStr">
        <is>
          <t>Anàlisi del rendiment general del grup - Aspectes a millorar (dificultats observades a nivell grupal ex. falta de participació, problemes de convivència, baixos resultats en determinats RA o mòduls)</t>
        </is>
      </c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8" t="n"/>
      <c r="L17" s="178" t="n"/>
      <c r="M17" s="178" t="n"/>
      <c r="N17" s="178" t="n"/>
    </row>
    <row r="18" ht="56.25" customHeight="1">
      <c r="B18" s="437" t="n"/>
      <c r="C18" s="383" t="n"/>
      <c r="D18" s="383" t="n"/>
      <c r="E18" s="383" t="n"/>
      <c r="F18" s="383" t="n"/>
      <c r="G18" s="383" t="n"/>
      <c r="H18" s="383" t="n"/>
      <c r="I18" s="383" t="n"/>
      <c r="J18" s="383" t="n"/>
      <c r="K18" s="383" t="n"/>
      <c r="L18" s="383" t="n"/>
      <c r="M18" s="383" t="n"/>
      <c r="N18" s="424" t="n"/>
    </row>
    <row r="20" ht="21" customFormat="1" customHeight="1" s="37">
      <c r="B20" s="196" t="inlineStr">
        <is>
          <t>2- Valoració del procés d'ensenyament-aprenentatge</t>
        </is>
      </c>
    </row>
    <row r="22" ht="15.6" customHeight="1">
      <c r="B22" s="438" t="n"/>
      <c r="C22" s="430" t="n"/>
      <c r="D22" s="430" t="n"/>
      <c r="E22" s="430" t="n"/>
      <c r="F22" s="430" t="n"/>
      <c r="G22" s="430" t="n"/>
      <c r="H22" s="430" t="n"/>
      <c r="I22" s="430" t="n"/>
      <c r="J22" s="430" t="n"/>
      <c r="K22" s="430" t="n"/>
      <c r="L22" s="430" t="n"/>
      <c r="M22" s="430" t="n"/>
      <c r="N22" s="427" t="n"/>
    </row>
    <row r="23" ht="253.5" customHeight="1">
      <c r="B23" s="439" t="n"/>
      <c r="C23" s="389" t="n"/>
      <c r="D23" s="389" t="n"/>
      <c r="E23" s="389" t="n"/>
      <c r="F23" s="389" t="n"/>
      <c r="G23" s="389" t="n"/>
      <c r="H23" s="389" t="n"/>
      <c r="I23" s="389" t="n"/>
      <c r="J23" s="389" t="n"/>
      <c r="K23" s="389" t="n"/>
      <c r="L23" s="389" t="n"/>
      <c r="M23" s="389" t="n"/>
      <c r="N23" s="428" t="n"/>
    </row>
    <row r="25" ht="21" customFormat="1" customHeight="1" s="37">
      <c r="B25" s="196" t="inlineStr">
        <is>
          <t>3- Anàlisi individual de l'alumnat</t>
        </is>
      </c>
    </row>
    <row r="27" ht="45.75" customFormat="1" customHeight="1" s="188">
      <c r="B27" s="179" t="inlineStr">
        <is>
          <t>NIA</t>
        </is>
      </c>
      <c r="C27" s="180" t="inlineStr">
        <is>
          <t>Alumne/a</t>
        </is>
      </c>
      <c r="D27" s="180" t="inlineStr">
        <is>
          <t>Estat2nT</t>
        </is>
      </c>
      <c r="E27" s="252" t="inlineStr">
        <is>
          <t>Valoració del progrés en la consecució dels Resultats d'Aprenentatge (RA) i les competències professionals i per a l'ocupabilitat - Identificació d'alumnat amb progrés no adequat i registre del seguiment i suports individualitzats</t>
        </is>
      </c>
      <c r="F27" s="387" t="n"/>
      <c r="G27" s="387" t="n"/>
      <c r="H27" s="387" t="n"/>
      <c r="I27" s="387" t="n"/>
      <c r="J27" s="387" t="n"/>
      <c r="K27" s="387" t="n"/>
      <c r="L27" s="387" t="n"/>
      <c r="M27" s="387" t="n"/>
      <c r="N27" s="406" t="n"/>
    </row>
    <row r="28" ht="47.25" customHeight="1">
      <c r="A28" s="188" t="n">
        <v>1</v>
      </c>
      <c r="B28" s="163">
        <f>IF('0 AVAL'!B36 = "", "", '0 AVAL'!B36)</f>
        <v/>
      </c>
      <c r="C28" s="163">
        <f>IF('0 AVAL'!C36 = "", "", '0 AVAL'!C36)</f>
        <v/>
      </c>
      <c r="D28" s="164" t="n"/>
      <c r="E28" s="440" t="inlineStr">
        <is>
          <t xml:space="preserve">
</t>
        </is>
      </c>
      <c r="F28" s="394" t="n"/>
      <c r="G28" s="394" t="n"/>
      <c r="H28" s="394" t="n"/>
      <c r="I28" s="394" t="n"/>
      <c r="J28" s="394" t="n"/>
      <c r="K28" s="394" t="n"/>
      <c r="L28" s="394" t="n"/>
      <c r="M28" s="394" t="n"/>
      <c r="N28" s="441" t="n"/>
    </row>
    <row r="29" ht="47.25" customHeight="1">
      <c r="A29" s="188" t="n">
        <v>2</v>
      </c>
      <c r="B29" s="163">
        <f>IF('0 AVAL'!B37 = "", "", '0 AVAL'!B37)</f>
        <v/>
      </c>
      <c r="C29" s="163">
        <f>IF('0 AVAL'!C37 = "", "", '0 AVAL'!C37)</f>
        <v/>
      </c>
      <c r="D29" s="145" t="n"/>
      <c r="E29" s="442" t="n"/>
      <c r="F29" s="387" t="n"/>
      <c r="G29" s="387" t="n"/>
      <c r="H29" s="387" t="n"/>
      <c r="I29" s="387" t="n"/>
      <c r="J29" s="387" t="n"/>
      <c r="K29" s="387" t="n"/>
      <c r="L29" s="387" t="n"/>
      <c r="M29" s="387" t="n"/>
      <c r="N29" s="406" t="n"/>
    </row>
    <row r="30" ht="47.25" customHeight="1">
      <c r="A30" s="188" t="n">
        <v>3</v>
      </c>
      <c r="B30" s="163">
        <f>IF('0 AVAL'!B38 = "", "", '0 AVAL'!B38)</f>
        <v/>
      </c>
      <c r="C30" s="163">
        <f>IF('0 AVAL'!C38 = "", "", '0 AVAL'!C38)</f>
        <v/>
      </c>
      <c r="D30" s="145" t="n"/>
      <c r="E30" s="442" t="n"/>
      <c r="F30" s="387" t="n"/>
      <c r="G30" s="387" t="n"/>
      <c r="H30" s="387" t="n"/>
      <c r="I30" s="387" t="n"/>
      <c r="J30" s="387" t="n"/>
      <c r="K30" s="387" t="n"/>
      <c r="L30" s="387" t="n"/>
      <c r="M30" s="387" t="n"/>
      <c r="N30" s="406" t="n"/>
    </row>
    <row r="31" ht="47.25" customHeight="1">
      <c r="A31" s="188" t="n">
        <v>4</v>
      </c>
      <c r="B31" s="163">
        <f>IF('0 AVAL'!B39 = "", "", '0 AVAL'!B39)</f>
        <v/>
      </c>
      <c r="C31" s="163">
        <f>IF('0 AVAL'!C39 = "", "", '0 AVAL'!C39)</f>
        <v/>
      </c>
      <c r="D31" s="145" t="n"/>
      <c r="E31" s="442" t="n"/>
      <c r="F31" s="387" t="n"/>
      <c r="G31" s="387" t="n"/>
      <c r="H31" s="387" t="n"/>
      <c r="I31" s="387" t="n"/>
      <c r="J31" s="387" t="n"/>
      <c r="K31" s="387" t="n"/>
      <c r="L31" s="387" t="n"/>
      <c r="M31" s="387" t="n"/>
      <c r="N31" s="406" t="n"/>
    </row>
    <row r="32" ht="47.25" customHeight="1">
      <c r="A32" s="188" t="n">
        <v>5</v>
      </c>
      <c r="B32" s="163">
        <f>IF('0 AVAL'!B40 = "", "", '0 AVAL'!B40)</f>
        <v/>
      </c>
      <c r="C32" s="163">
        <f>IF('0 AVAL'!C40 = "", "", '0 AVAL'!C40)</f>
        <v/>
      </c>
      <c r="D32" s="145" t="n"/>
      <c r="E32" s="442" t="n"/>
      <c r="F32" s="387" t="n"/>
      <c r="G32" s="387" t="n"/>
      <c r="H32" s="387" t="n"/>
      <c r="I32" s="387" t="n"/>
      <c r="J32" s="387" t="n"/>
      <c r="K32" s="387" t="n"/>
      <c r="L32" s="387" t="n"/>
      <c r="M32" s="387" t="n"/>
      <c r="N32" s="406" t="n"/>
    </row>
    <row r="33" ht="47.25" customHeight="1">
      <c r="A33" s="188" t="n">
        <v>6</v>
      </c>
      <c r="B33" s="163">
        <f>IF('0 AVAL'!B41 = "", "", '0 AVAL'!B41)</f>
        <v/>
      </c>
      <c r="C33" s="163">
        <f>IF('0 AVAL'!C41 = "", "", '0 AVAL'!C41)</f>
        <v/>
      </c>
      <c r="D33" s="145" t="n"/>
      <c r="E33" s="442" t="n"/>
      <c r="F33" s="387" t="n"/>
      <c r="G33" s="387" t="n"/>
      <c r="H33" s="387" t="n"/>
      <c r="I33" s="387" t="n"/>
      <c r="J33" s="387" t="n"/>
      <c r="K33" s="387" t="n"/>
      <c r="L33" s="387" t="n"/>
      <c r="M33" s="387" t="n"/>
      <c r="N33" s="406" t="n"/>
    </row>
    <row r="34" ht="47.25" customHeight="1">
      <c r="A34" s="188" t="n">
        <v>7</v>
      </c>
      <c r="B34" s="163">
        <f>IF('0 AVAL'!B42 = "", "", '0 AVAL'!B42)</f>
        <v/>
      </c>
      <c r="C34" s="163">
        <f>IF('0 AVAL'!C42 = "", "", '0 AVAL'!C42)</f>
        <v/>
      </c>
      <c r="D34" s="145" t="n"/>
      <c r="E34" s="442" t="n"/>
      <c r="F34" s="387" t="n"/>
      <c r="G34" s="387" t="n"/>
      <c r="H34" s="387" t="n"/>
      <c r="I34" s="387" t="n"/>
      <c r="J34" s="387" t="n"/>
      <c r="K34" s="387" t="n"/>
      <c r="L34" s="387" t="n"/>
      <c r="M34" s="387" t="n"/>
      <c r="N34" s="406" t="n"/>
    </row>
    <row r="35" ht="47.25" customHeight="1">
      <c r="A35" s="188" t="n">
        <v>8</v>
      </c>
      <c r="B35" s="163">
        <f>IF('0 AVAL'!B43 = "", "", '0 AVAL'!B43)</f>
        <v/>
      </c>
      <c r="C35" s="163">
        <f>IF('0 AVAL'!C43 = "", "", '0 AVAL'!C43)</f>
        <v/>
      </c>
      <c r="D35" s="145" t="n"/>
      <c r="E35" s="442" t="n"/>
      <c r="F35" s="387" t="n"/>
      <c r="G35" s="387" t="n"/>
      <c r="H35" s="387" t="n"/>
      <c r="I35" s="387" t="n"/>
      <c r="J35" s="387" t="n"/>
      <c r="K35" s="387" t="n"/>
      <c r="L35" s="387" t="n"/>
      <c r="M35" s="387" t="n"/>
      <c r="N35" s="406" t="n"/>
    </row>
    <row r="36" ht="47.25" customHeight="1">
      <c r="A36" s="188" t="n">
        <v>9</v>
      </c>
      <c r="B36" s="163">
        <f>IF('0 AVAL'!B44 = "", "", '0 AVAL'!B44)</f>
        <v/>
      </c>
      <c r="C36" s="163">
        <f>IF('0 AVAL'!C44 = "", "", '0 AVAL'!C44)</f>
        <v/>
      </c>
      <c r="D36" s="145" t="n"/>
      <c r="E36" s="442" t="n"/>
      <c r="F36" s="387" t="n"/>
      <c r="G36" s="387" t="n"/>
      <c r="H36" s="387" t="n"/>
      <c r="I36" s="387" t="n"/>
      <c r="J36" s="387" t="n"/>
      <c r="K36" s="387" t="n"/>
      <c r="L36" s="387" t="n"/>
      <c r="M36" s="387" t="n"/>
      <c r="N36" s="406" t="n"/>
    </row>
    <row r="37" ht="47.25" customHeight="1">
      <c r="A37" s="188" t="n">
        <v>10</v>
      </c>
      <c r="B37" s="163">
        <f>IF('0 AVAL'!B45 = "", "", '0 AVAL'!B45)</f>
        <v/>
      </c>
      <c r="C37" s="163">
        <f>IF('0 AVAL'!C45 = "", "", '0 AVAL'!C45)</f>
        <v/>
      </c>
      <c r="D37" s="145" t="n"/>
      <c r="E37" s="442" t="n"/>
      <c r="F37" s="387" t="n"/>
      <c r="G37" s="387" t="n"/>
      <c r="H37" s="387" t="n"/>
      <c r="I37" s="387" t="n"/>
      <c r="J37" s="387" t="n"/>
      <c r="K37" s="387" t="n"/>
      <c r="L37" s="387" t="n"/>
      <c r="M37" s="387" t="n"/>
      <c r="N37" s="406" t="n"/>
    </row>
    <row r="38" ht="47.25" customHeight="1">
      <c r="A38" s="188" t="n">
        <v>11</v>
      </c>
      <c r="B38" s="163">
        <f>IF('0 AVAL'!B46 = "", "", '0 AVAL'!B46)</f>
        <v/>
      </c>
      <c r="C38" s="163">
        <f>IF('0 AVAL'!C46 = "", "", '0 AVAL'!C46)</f>
        <v/>
      </c>
      <c r="D38" s="145" t="n"/>
      <c r="E38" s="442" t="n"/>
      <c r="F38" s="387" t="n"/>
      <c r="G38" s="387" t="n"/>
      <c r="H38" s="387" t="n"/>
      <c r="I38" s="387" t="n"/>
      <c r="J38" s="387" t="n"/>
      <c r="K38" s="387" t="n"/>
      <c r="L38" s="387" t="n"/>
      <c r="M38" s="387" t="n"/>
      <c r="N38" s="406" t="n"/>
    </row>
    <row r="39" ht="47.25" customHeight="1">
      <c r="A39" s="188" t="n">
        <v>12</v>
      </c>
      <c r="B39" s="163">
        <f>IF('0 AVAL'!B47 = "", "", '0 AVAL'!B47)</f>
        <v/>
      </c>
      <c r="C39" s="163">
        <f>IF('0 AVAL'!C47 = "", "", '0 AVAL'!C47)</f>
        <v/>
      </c>
      <c r="D39" s="145" t="n"/>
      <c r="E39" s="442" t="n"/>
      <c r="F39" s="387" t="n"/>
      <c r="G39" s="387" t="n"/>
      <c r="H39" s="387" t="n"/>
      <c r="I39" s="387" t="n"/>
      <c r="J39" s="387" t="n"/>
      <c r="K39" s="387" t="n"/>
      <c r="L39" s="387" t="n"/>
      <c r="M39" s="387" t="n"/>
      <c r="N39" s="406" t="n"/>
    </row>
    <row r="40" ht="47.25" customHeight="1">
      <c r="A40" s="188" t="n">
        <v>13</v>
      </c>
      <c r="B40" s="163">
        <f>IF('0 AVAL'!B48 = "", "", '0 AVAL'!B48)</f>
        <v/>
      </c>
      <c r="C40" s="163">
        <f>IF('0 AVAL'!C48 = "", "", '0 AVAL'!C48)</f>
        <v/>
      </c>
      <c r="D40" s="145" t="n"/>
      <c r="E40" s="442" t="n"/>
      <c r="F40" s="387" t="n"/>
      <c r="G40" s="387" t="n"/>
      <c r="H40" s="387" t="n"/>
      <c r="I40" s="387" t="n"/>
      <c r="J40" s="387" t="n"/>
      <c r="K40" s="387" t="n"/>
      <c r="L40" s="387" t="n"/>
      <c r="M40" s="387" t="n"/>
      <c r="N40" s="406" t="n"/>
    </row>
    <row r="41" ht="47.25" customHeight="1">
      <c r="A41" s="188" t="n">
        <v>14</v>
      </c>
      <c r="B41" s="163">
        <f>IF('0 AVAL'!B49 = "", "", '0 AVAL'!B49)</f>
        <v/>
      </c>
      <c r="C41" s="163">
        <f>IF('0 AVAL'!C49 = "", "", '0 AVAL'!C49)</f>
        <v/>
      </c>
      <c r="D41" s="145" t="n"/>
      <c r="E41" s="442" t="n"/>
      <c r="F41" s="387" t="n"/>
      <c r="G41" s="387" t="n"/>
      <c r="H41" s="387" t="n"/>
      <c r="I41" s="387" t="n"/>
      <c r="J41" s="387" t="n"/>
      <c r="K41" s="387" t="n"/>
      <c r="L41" s="387" t="n"/>
      <c r="M41" s="387" t="n"/>
      <c r="N41" s="406" t="n"/>
    </row>
    <row r="42" ht="47.25" customHeight="1">
      <c r="A42" s="188" t="n">
        <v>15</v>
      </c>
      <c r="B42" s="163">
        <f>IF('0 AVAL'!B50 = "", "", '0 AVAL'!B50)</f>
        <v/>
      </c>
      <c r="C42" s="163">
        <f>IF('0 AVAL'!C50 = "", "", '0 AVAL'!C50)</f>
        <v/>
      </c>
      <c r="D42" s="145" t="n"/>
      <c r="E42" s="442" t="n"/>
      <c r="F42" s="387" t="n"/>
      <c r="G42" s="387" t="n"/>
      <c r="H42" s="387" t="n"/>
      <c r="I42" s="387" t="n"/>
      <c r="J42" s="387" t="n"/>
      <c r="K42" s="387" t="n"/>
      <c r="L42" s="387" t="n"/>
      <c r="M42" s="387" t="n"/>
      <c r="N42" s="406" t="n"/>
    </row>
    <row r="43" ht="47.25" customHeight="1">
      <c r="A43" s="188" t="n">
        <v>16</v>
      </c>
      <c r="B43" s="163">
        <f>IF('0 AVAL'!B51 = "", "", '0 AVAL'!B51)</f>
        <v/>
      </c>
      <c r="C43" s="163">
        <f>IF('0 AVAL'!C51 = "", "", '0 AVAL'!C51)</f>
        <v/>
      </c>
      <c r="D43" s="145" t="n"/>
      <c r="E43" s="442" t="n"/>
      <c r="F43" s="387" t="n"/>
      <c r="G43" s="387" t="n"/>
      <c r="H43" s="387" t="n"/>
      <c r="I43" s="387" t="n"/>
      <c r="J43" s="387" t="n"/>
      <c r="K43" s="387" t="n"/>
      <c r="L43" s="387" t="n"/>
      <c r="M43" s="387" t="n"/>
      <c r="N43" s="406" t="n"/>
    </row>
    <row r="44" ht="47.25" customHeight="1">
      <c r="A44" s="188" t="n">
        <v>17</v>
      </c>
      <c r="B44" s="163">
        <f>IF('0 AVAL'!B52 = "", "", '0 AVAL'!B52)</f>
        <v/>
      </c>
      <c r="C44" s="163">
        <f>IF('0 AVAL'!C52 = "", "", '0 AVAL'!C52)</f>
        <v/>
      </c>
      <c r="D44" s="145" t="n"/>
      <c r="E44" s="442" t="n"/>
      <c r="F44" s="387" t="n"/>
      <c r="G44" s="387" t="n"/>
      <c r="H44" s="387" t="n"/>
      <c r="I44" s="387" t="n"/>
      <c r="J44" s="387" t="n"/>
      <c r="K44" s="387" t="n"/>
      <c r="L44" s="387" t="n"/>
      <c r="M44" s="387" t="n"/>
      <c r="N44" s="406" t="n"/>
    </row>
    <row r="45" ht="47.25" customHeight="1">
      <c r="A45" s="188" t="n">
        <v>18</v>
      </c>
      <c r="B45" s="163">
        <f>IF('0 AVAL'!B53 = "", "", '0 AVAL'!B53)</f>
        <v/>
      </c>
      <c r="C45" s="163">
        <f>IF('0 AVAL'!C53 = "", "", '0 AVAL'!C53)</f>
        <v/>
      </c>
      <c r="D45" s="145" t="n"/>
      <c r="E45" s="442" t="n"/>
      <c r="F45" s="387" t="n"/>
      <c r="G45" s="387" t="n"/>
      <c r="H45" s="387" t="n"/>
      <c r="I45" s="387" t="n"/>
      <c r="J45" s="387" t="n"/>
      <c r="K45" s="387" t="n"/>
      <c r="L45" s="387" t="n"/>
      <c r="M45" s="387" t="n"/>
      <c r="N45" s="406" t="n"/>
    </row>
    <row r="46" ht="47.25" customHeight="1">
      <c r="A46" s="188" t="n">
        <v>19</v>
      </c>
      <c r="B46" s="163">
        <f>IF('0 AVAL'!B54 = "", "", '0 AVAL'!B54)</f>
        <v/>
      </c>
      <c r="C46" s="163">
        <f>IF('0 AVAL'!C54 = "", "", '0 AVAL'!C54)</f>
        <v/>
      </c>
      <c r="D46" s="145" t="n"/>
      <c r="E46" s="442" t="n"/>
      <c r="F46" s="387" t="n"/>
      <c r="G46" s="387" t="n"/>
      <c r="H46" s="387" t="n"/>
      <c r="I46" s="387" t="n"/>
      <c r="J46" s="387" t="n"/>
      <c r="K46" s="387" t="n"/>
      <c r="L46" s="387" t="n"/>
      <c r="M46" s="387" t="n"/>
      <c r="N46" s="406" t="n"/>
    </row>
    <row r="47" ht="47.25" customHeight="1">
      <c r="A47" s="188" t="n">
        <v>20</v>
      </c>
      <c r="B47" s="163">
        <f>IF('0 AVAL'!B55 = "", "", '0 AVAL'!B55)</f>
        <v/>
      </c>
      <c r="C47" s="163">
        <f>IF('0 AVAL'!C55 = "", "", '0 AVAL'!C55)</f>
        <v/>
      </c>
      <c r="D47" s="145" t="n"/>
      <c r="E47" s="442" t="n"/>
      <c r="F47" s="387" t="n"/>
      <c r="G47" s="387" t="n"/>
      <c r="H47" s="387" t="n"/>
      <c r="I47" s="387" t="n"/>
      <c r="J47" s="387" t="n"/>
      <c r="K47" s="387" t="n"/>
      <c r="L47" s="387" t="n"/>
      <c r="M47" s="387" t="n"/>
      <c r="N47" s="406" t="n"/>
    </row>
    <row r="48" ht="47.25" customHeight="1">
      <c r="A48" s="188" t="n">
        <v>21</v>
      </c>
      <c r="B48" s="163">
        <f>IF('0 AVAL'!B56 = "", "", '0 AVAL'!B56)</f>
        <v/>
      </c>
      <c r="C48" s="163">
        <f>IF('0 AVAL'!C56 = "", "", '0 AVAL'!C56)</f>
        <v/>
      </c>
      <c r="D48" s="145" t="n"/>
      <c r="E48" s="442" t="n"/>
      <c r="F48" s="387" t="n"/>
      <c r="G48" s="387" t="n"/>
      <c r="H48" s="387" t="n"/>
      <c r="I48" s="387" t="n"/>
      <c r="J48" s="387" t="n"/>
      <c r="K48" s="387" t="n"/>
      <c r="L48" s="387" t="n"/>
      <c r="M48" s="387" t="n"/>
      <c r="N48" s="406" t="n"/>
    </row>
    <row r="49" ht="47.25" customHeight="1">
      <c r="A49" s="188" t="n">
        <v>22</v>
      </c>
      <c r="B49" s="163">
        <f>IF('0 AVAL'!B57 = "", "", '0 AVAL'!B57)</f>
        <v/>
      </c>
      <c r="C49" s="163">
        <f>IF('0 AVAL'!C57 = "", "", '0 AVAL'!C57)</f>
        <v/>
      </c>
      <c r="D49" s="145" t="n"/>
      <c r="E49" s="442" t="n"/>
      <c r="F49" s="387" t="n"/>
      <c r="G49" s="387" t="n"/>
      <c r="H49" s="387" t="n"/>
      <c r="I49" s="387" t="n"/>
      <c r="J49" s="387" t="n"/>
      <c r="K49" s="387" t="n"/>
      <c r="L49" s="387" t="n"/>
      <c r="M49" s="387" t="n"/>
      <c r="N49" s="406" t="n"/>
    </row>
    <row r="50" ht="47.25" customHeight="1">
      <c r="A50" s="188" t="n">
        <v>23</v>
      </c>
      <c r="B50" s="163">
        <f>IF('0 AVAL'!B58 = "", "", '0 AVAL'!B58)</f>
        <v/>
      </c>
      <c r="C50" s="163">
        <f>IF('0 AVAL'!C58 = "", "", '0 AVAL'!C58)</f>
        <v/>
      </c>
      <c r="D50" s="145" t="n"/>
      <c r="E50" s="442" t="n"/>
      <c r="F50" s="387" t="n"/>
      <c r="G50" s="387" t="n"/>
      <c r="H50" s="387" t="n"/>
      <c r="I50" s="387" t="n"/>
      <c r="J50" s="387" t="n"/>
      <c r="K50" s="387" t="n"/>
      <c r="L50" s="387" t="n"/>
      <c r="M50" s="387" t="n"/>
      <c r="N50" s="406" t="n"/>
    </row>
    <row r="51" ht="47.25" customHeight="1">
      <c r="A51" s="188" t="n">
        <v>24</v>
      </c>
      <c r="B51" s="163">
        <f>IF('0 AVAL'!B59 = "", "", '0 AVAL'!B59)</f>
        <v/>
      </c>
      <c r="C51" s="163">
        <f>IF('0 AVAL'!C59 = "", "", '0 AVAL'!C59)</f>
        <v/>
      </c>
      <c r="D51" s="145" t="n"/>
      <c r="E51" s="442" t="n"/>
      <c r="F51" s="387" t="n"/>
      <c r="G51" s="387" t="n"/>
      <c r="H51" s="387" t="n"/>
      <c r="I51" s="387" t="n"/>
      <c r="J51" s="387" t="n"/>
      <c r="K51" s="387" t="n"/>
      <c r="L51" s="387" t="n"/>
      <c r="M51" s="387" t="n"/>
      <c r="N51" s="406" t="n"/>
    </row>
    <row r="52" ht="47.25" customHeight="1">
      <c r="A52" s="188" t="n">
        <v>25</v>
      </c>
      <c r="B52" s="163">
        <f>IF('0 AVAL'!B60 = "", "", '0 AVAL'!B60)</f>
        <v/>
      </c>
      <c r="C52" s="163">
        <f>IF('0 AVAL'!C60 = "", "", '0 AVAL'!C60)</f>
        <v/>
      </c>
      <c r="D52" s="145" t="n"/>
      <c r="E52" s="442" t="n"/>
      <c r="F52" s="387" t="n"/>
      <c r="G52" s="387" t="n"/>
      <c r="H52" s="387" t="n"/>
      <c r="I52" s="387" t="n"/>
      <c r="J52" s="387" t="n"/>
      <c r="K52" s="387" t="n"/>
      <c r="L52" s="387" t="n"/>
      <c r="M52" s="387" t="n"/>
      <c r="N52" s="406" t="n"/>
    </row>
    <row r="53" ht="47.25" customHeight="1">
      <c r="A53" s="188" t="n">
        <v>26</v>
      </c>
      <c r="B53" s="163">
        <f>IF('0 AVAL'!B61 = "", "", '0 AVAL'!B61)</f>
        <v/>
      </c>
      <c r="C53" s="163">
        <f>IF('0 AVAL'!C61 = "", "", '0 AVAL'!C61)</f>
        <v/>
      </c>
      <c r="D53" s="145" t="n"/>
      <c r="E53" s="442" t="n"/>
      <c r="F53" s="387" t="n"/>
      <c r="G53" s="387" t="n"/>
      <c r="H53" s="387" t="n"/>
      <c r="I53" s="387" t="n"/>
      <c r="J53" s="387" t="n"/>
      <c r="K53" s="387" t="n"/>
      <c r="L53" s="387" t="n"/>
      <c r="M53" s="387" t="n"/>
      <c r="N53" s="406" t="n"/>
    </row>
    <row r="54" ht="47.25" customHeight="1">
      <c r="A54" s="188" t="n">
        <v>27</v>
      </c>
      <c r="B54" s="163">
        <f>IF('0 AVAL'!B62 = "", "", '0 AVAL'!B62)</f>
        <v/>
      </c>
      <c r="C54" s="163">
        <f>IF('0 AVAL'!C62 = "", "", '0 AVAL'!C62)</f>
        <v/>
      </c>
      <c r="D54" s="145" t="n"/>
      <c r="E54" s="442" t="n"/>
      <c r="F54" s="387" t="n"/>
      <c r="G54" s="387" t="n"/>
      <c r="H54" s="387" t="n"/>
      <c r="I54" s="387" t="n"/>
      <c r="J54" s="387" t="n"/>
      <c r="K54" s="387" t="n"/>
      <c r="L54" s="387" t="n"/>
      <c r="M54" s="387" t="n"/>
      <c r="N54" s="406" t="n"/>
    </row>
    <row r="55" ht="47.25" customHeight="1">
      <c r="A55" s="188" t="n">
        <v>28</v>
      </c>
      <c r="B55" s="163">
        <f>IF('0 AVAL'!B63 = "", "", '0 AVAL'!B63)</f>
        <v/>
      </c>
      <c r="C55" s="163">
        <f>IF('0 AVAL'!C63 = "", "", '0 AVAL'!C63)</f>
        <v/>
      </c>
      <c r="D55" s="145" t="n"/>
      <c r="E55" s="442" t="n"/>
      <c r="F55" s="387" t="n"/>
      <c r="G55" s="387" t="n"/>
      <c r="H55" s="387" t="n"/>
      <c r="I55" s="387" t="n"/>
      <c r="J55" s="387" t="n"/>
      <c r="K55" s="387" t="n"/>
      <c r="L55" s="387" t="n"/>
      <c r="M55" s="387" t="n"/>
      <c r="N55" s="406" t="n"/>
    </row>
    <row r="56" ht="47.25" customHeight="1">
      <c r="A56" s="188" t="n">
        <v>29</v>
      </c>
      <c r="B56" s="163">
        <f>IF('0 AVAL'!B64 = "", "", '0 AVAL'!B64)</f>
        <v/>
      </c>
      <c r="C56" s="163">
        <f>IF('0 AVAL'!C64 = "", "", '0 AVAL'!C64)</f>
        <v/>
      </c>
      <c r="D56" s="145" t="n"/>
      <c r="E56" s="442" t="n"/>
      <c r="F56" s="387" t="n"/>
      <c r="G56" s="387" t="n"/>
      <c r="H56" s="387" t="n"/>
      <c r="I56" s="387" t="n"/>
      <c r="J56" s="387" t="n"/>
      <c r="K56" s="387" t="n"/>
      <c r="L56" s="387" t="n"/>
      <c r="M56" s="387" t="n"/>
      <c r="N56" s="406" t="n"/>
    </row>
    <row r="57" ht="47.25" customHeight="1">
      <c r="A57" s="188" t="n">
        <v>30</v>
      </c>
      <c r="B57" s="163">
        <f>IF('0 AVAL'!B65 = "", "", '0 AVAL'!B65)</f>
        <v/>
      </c>
      <c r="C57" s="163">
        <f>IF('0 AVAL'!C65 = "", "", '0 AVAL'!C65)</f>
        <v/>
      </c>
      <c r="D57" s="145" t="n"/>
      <c r="E57" s="442" t="n"/>
      <c r="F57" s="387" t="n"/>
      <c r="G57" s="387" t="n"/>
      <c r="H57" s="387" t="n"/>
      <c r="I57" s="387" t="n"/>
      <c r="J57" s="387" t="n"/>
      <c r="K57" s="387" t="n"/>
      <c r="L57" s="387" t="n"/>
      <c r="M57" s="387" t="n"/>
      <c r="N57" s="406" t="n"/>
    </row>
    <row r="58" ht="47.25" customHeight="1">
      <c r="A58" s="188" t="n">
        <v>31</v>
      </c>
      <c r="B58" s="163">
        <f>IF('0 AVAL'!B66 = "", "", '0 AVAL'!B66)</f>
        <v/>
      </c>
      <c r="C58" s="163">
        <f>IF('0 AVAL'!C66 = "", "", '0 AVAL'!C66)</f>
        <v/>
      </c>
      <c r="D58" s="145" t="n"/>
      <c r="E58" s="374" t="n"/>
      <c r="F58" s="375" t="n"/>
      <c r="G58" s="375" t="n"/>
      <c r="H58" s="375" t="n"/>
      <c r="I58" s="375" t="n"/>
      <c r="J58" s="375" t="n"/>
      <c r="K58" s="375" t="n"/>
      <c r="L58" s="375" t="n"/>
      <c r="M58" s="375" t="n"/>
      <c r="N58" s="376" t="n"/>
    </row>
    <row r="59" ht="47.25" customHeight="1">
      <c r="A59" s="188" t="n">
        <v>32</v>
      </c>
      <c r="B59" s="163">
        <f>IF('0 AVAL'!B67 = "", "", '0 AVAL'!B67)</f>
        <v/>
      </c>
      <c r="C59" s="163">
        <f>IF('0 AVAL'!C67 = "", "", '0 AVAL'!C67)</f>
        <v/>
      </c>
      <c r="D59" s="145" t="n"/>
      <c r="E59" s="374" t="n"/>
      <c r="F59" s="375" t="n"/>
      <c r="G59" s="375" t="n"/>
      <c r="H59" s="375" t="n"/>
      <c r="I59" s="375" t="n"/>
      <c r="J59" s="375" t="n"/>
      <c r="K59" s="375" t="n"/>
      <c r="L59" s="375" t="n"/>
      <c r="M59" s="375" t="n"/>
      <c r="N59" s="376" t="n"/>
    </row>
    <row r="60" ht="47.25" customHeight="1">
      <c r="A60" s="188" t="n">
        <v>33</v>
      </c>
      <c r="B60" s="163">
        <f>IF('0 AVAL'!B68 = "", "", '0 AVAL'!B68)</f>
        <v/>
      </c>
      <c r="C60" s="163">
        <f>IF('0 AVAL'!C68 = "", "", '0 AVAL'!C68)</f>
        <v/>
      </c>
      <c r="D60" s="145" t="n"/>
      <c r="E60" s="374" t="n"/>
      <c r="F60" s="375" t="n"/>
      <c r="G60" s="375" t="n"/>
      <c r="H60" s="375" t="n"/>
      <c r="I60" s="375" t="n"/>
      <c r="J60" s="375" t="n"/>
      <c r="K60" s="375" t="n"/>
      <c r="L60" s="375" t="n"/>
      <c r="M60" s="375" t="n"/>
      <c r="N60" s="376" t="n"/>
    </row>
    <row r="61" ht="47.25" customHeight="1">
      <c r="A61" s="188" t="n">
        <v>34</v>
      </c>
      <c r="B61" s="163">
        <f>IF('0 AVAL'!B69 = "", "", '0 AVAL'!B69)</f>
        <v/>
      </c>
      <c r="C61" s="163">
        <f>IF('0 AVAL'!C69 = "", "", '0 AVAL'!C69)</f>
        <v/>
      </c>
      <c r="D61" s="145" t="n"/>
      <c r="E61" s="374" t="n"/>
      <c r="F61" s="375" t="n"/>
      <c r="G61" s="375" t="n"/>
      <c r="H61" s="375" t="n"/>
      <c r="I61" s="375" t="n"/>
      <c r="J61" s="375" t="n"/>
      <c r="K61" s="375" t="n"/>
      <c r="L61" s="375" t="n"/>
      <c r="M61" s="375" t="n"/>
      <c r="N61" s="376" t="n"/>
    </row>
    <row r="62" ht="47.25" customHeight="1">
      <c r="A62" s="188" t="n">
        <v>35</v>
      </c>
      <c r="B62" s="163">
        <f>IF('0 AVAL'!B70 = "", "", '0 AVAL'!B70)</f>
        <v/>
      </c>
      <c r="C62" s="163">
        <f>IF('0 AVAL'!C70 = "", "", '0 AVAL'!C70)</f>
        <v/>
      </c>
      <c r="D62" s="145" t="n"/>
      <c r="E62" s="374" t="n"/>
      <c r="F62" s="375" t="n"/>
      <c r="G62" s="375" t="n"/>
      <c r="H62" s="375" t="n"/>
      <c r="I62" s="375" t="n"/>
      <c r="J62" s="375" t="n"/>
      <c r="K62" s="375" t="n"/>
      <c r="L62" s="375" t="n"/>
      <c r="M62" s="375" t="n"/>
      <c r="N62" s="376" t="n"/>
    </row>
    <row r="63" ht="47.25" customHeight="1">
      <c r="A63" s="188" t="n">
        <v>36</v>
      </c>
      <c r="B63" s="163">
        <f>IF('0 AVAL'!B71 = "", "", '0 AVAL'!B71)</f>
        <v/>
      </c>
      <c r="C63" s="163">
        <f>IF('0 AVAL'!C71 = "", "", '0 AVAL'!C71)</f>
        <v/>
      </c>
      <c r="D63" s="145" t="n"/>
      <c r="E63" s="442" t="n"/>
      <c r="F63" s="387" t="n"/>
      <c r="G63" s="387" t="n"/>
      <c r="H63" s="387" t="n"/>
      <c r="I63" s="387" t="n"/>
      <c r="J63" s="387" t="n"/>
      <c r="K63" s="387" t="n"/>
      <c r="L63" s="387" t="n"/>
      <c r="M63" s="387" t="n"/>
      <c r="N63" s="406" t="n"/>
    </row>
    <row r="64" ht="47.25" customHeight="1">
      <c r="A64" s="188" t="n">
        <v>37</v>
      </c>
      <c r="B64" s="163">
        <f>IF('0 AVAL'!B72 = "", "", '0 AVAL'!B72)</f>
        <v/>
      </c>
      <c r="C64" s="163">
        <f>IF('0 AVAL'!C72 = "", "", '0 AVAL'!C72)</f>
        <v/>
      </c>
      <c r="D64" s="145" t="n"/>
      <c r="E64" s="442" t="n"/>
      <c r="F64" s="387" t="n"/>
      <c r="G64" s="387" t="n"/>
      <c r="H64" s="387" t="n"/>
      <c r="I64" s="387" t="n"/>
      <c r="J64" s="387" t="n"/>
      <c r="K64" s="387" t="n"/>
      <c r="L64" s="387" t="n"/>
      <c r="M64" s="387" t="n"/>
      <c r="N64" s="406" t="n"/>
    </row>
    <row r="65" ht="47.25" customHeight="1">
      <c r="A65" s="188" t="n">
        <v>38</v>
      </c>
      <c r="B65" s="163">
        <f>IF('0 AVAL'!B73 = "", "", '0 AVAL'!B73)</f>
        <v/>
      </c>
      <c r="C65" s="163">
        <f>IF('0 AVAL'!C73 = "", "", '0 AVAL'!C73)</f>
        <v/>
      </c>
      <c r="D65" s="145" t="n"/>
      <c r="E65" s="442" t="n"/>
      <c r="F65" s="387" t="n"/>
      <c r="G65" s="387" t="n"/>
      <c r="H65" s="387" t="n"/>
      <c r="I65" s="387" t="n"/>
      <c r="J65" s="387" t="n"/>
      <c r="K65" s="387" t="n"/>
      <c r="L65" s="387" t="n"/>
      <c r="M65" s="387" t="n"/>
      <c r="N65" s="406" t="n"/>
    </row>
    <row r="66" ht="47.25" customHeight="1">
      <c r="A66" s="188" t="n">
        <v>39</v>
      </c>
      <c r="B66" s="163">
        <f>IF('0 AVAL'!B74 = "", "", '0 AVAL'!B74)</f>
        <v/>
      </c>
      <c r="C66" s="163">
        <f>IF('0 AVAL'!C74 = "", "", '0 AVAL'!C74)</f>
        <v/>
      </c>
      <c r="D66" s="145" t="n"/>
      <c r="E66" s="442" t="n"/>
      <c r="F66" s="387" t="n"/>
      <c r="G66" s="387" t="n"/>
      <c r="H66" s="387" t="n"/>
      <c r="I66" s="387" t="n"/>
      <c r="J66" s="387" t="n"/>
      <c r="K66" s="387" t="n"/>
      <c r="L66" s="387" t="n"/>
      <c r="M66" s="387" t="n"/>
      <c r="N66" s="406" t="n"/>
    </row>
    <row r="67" ht="59.25" customHeight="1">
      <c r="A67" s="188" t="n">
        <v>40</v>
      </c>
      <c r="B67" s="163">
        <f>IF('0 AVAL'!B75 = "", "", '0 AVAL'!B75)</f>
        <v/>
      </c>
      <c r="C67" s="163">
        <f>IF('0 AVAL'!C75 = "", "", '0 AVAL'!C75)</f>
        <v/>
      </c>
      <c r="D67" s="145" t="n"/>
      <c r="E67" s="442" t="n"/>
      <c r="F67" s="387" t="n"/>
      <c r="G67" s="387" t="n"/>
      <c r="H67" s="387" t="n"/>
      <c r="I67" s="387" t="n"/>
      <c r="J67" s="387" t="n"/>
      <c r="K67" s="387" t="n"/>
      <c r="L67" s="387" t="n"/>
      <c r="M67" s="387" t="n"/>
      <c r="N67" s="406" t="n"/>
    </row>
    <row r="68" ht="23.25" customHeight="1" thickBot="1"/>
    <row r="69" ht="59.25" customFormat="1" customHeight="1" s="37" thickBot="1">
      <c r="B69" s="443" t="inlineStr">
        <is>
          <t>4- Acords adoptats de caràcter col·legiat per l'equip docent. A partir dels resultats de les avaluacions del procés d'aprenentatge, es redefiniran propostes de millora del procés d'ensenyament.</t>
        </is>
      </c>
      <c r="C69" s="419" t="n"/>
      <c r="D69" s="419" t="n"/>
      <c r="E69" s="419" t="n"/>
      <c r="F69" s="419" t="n"/>
      <c r="G69" s="419" t="n"/>
      <c r="H69" s="419" t="n"/>
      <c r="I69" s="419" t="n"/>
      <c r="J69" s="419" t="n"/>
      <c r="K69" s="419" t="n"/>
      <c r="L69" s="419" t="n"/>
      <c r="M69" s="419" t="n"/>
      <c r="N69" s="420" t="n"/>
    </row>
    <row r="70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 ht="34.5" customFormat="1" customHeight="1" s="29">
      <c r="A71" s="129" t="n">
        <v>1</v>
      </c>
      <c r="B71" s="281" t="n"/>
      <c r="C71" s="387" t="n"/>
      <c r="D71" s="387" t="n"/>
      <c r="E71" s="387" t="n"/>
      <c r="F71" s="387" t="n"/>
      <c r="G71" s="387" t="n"/>
      <c r="H71" s="387" t="n"/>
      <c r="I71" s="387" t="n"/>
      <c r="J71" s="421" t="inlineStr">
        <is>
          <t xml:space="preserve">Acta elaborada per: XXXXX. XX:XXh </t>
        </is>
      </c>
      <c r="K71" s="398" t="n"/>
      <c r="L71" s="398" t="n"/>
      <c r="M71" s="398" t="n"/>
      <c r="N71" s="399" t="n"/>
    </row>
    <row r="72" ht="34.5" customFormat="1" customHeight="1" s="29">
      <c r="A72" s="129" t="n">
        <v>2</v>
      </c>
      <c r="B72" s="325" t="n"/>
      <c r="C72" s="394" t="n"/>
      <c r="D72" s="394" t="n"/>
      <c r="E72" s="394" t="n"/>
      <c r="F72" s="394" t="n"/>
      <c r="G72" s="394" t="n"/>
      <c r="H72" s="394" t="n"/>
      <c r="I72" s="394" t="n"/>
      <c r="J72" s="400" t="n"/>
      <c r="N72" s="401" t="n"/>
    </row>
    <row r="73" ht="34.5" customFormat="1" customHeight="1" s="29">
      <c r="A73" s="129" t="n">
        <v>3</v>
      </c>
      <c r="B73" s="325" t="n"/>
      <c r="C73" s="394" t="n"/>
      <c r="D73" s="394" t="n"/>
      <c r="E73" s="394" t="n"/>
      <c r="F73" s="394" t="n"/>
      <c r="G73" s="394" t="n"/>
      <c r="H73" s="394" t="n"/>
      <c r="I73" s="394" t="n"/>
      <c r="J73" s="400" t="n"/>
      <c r="N73" s="401" t="n"/>
    </row>
    <row r="74" ht="34.5" customFormat="1" customHeight="1" s="29">
      <c r="A74" s="129" t="n">
        <v>4</v>
      </c>
      <c r="B74" s="325" t="n"/>
      <c r="C74" s="394" t="n"/>
      <c r="D74" s="394" t="n"/>
      <c r="E74" s="394" t="n"/>
      <c r="F74" s="394" t="n"/>
      <c r="G74" s="394" t="n"/>
      <c r="H74" s="394" t="n"/>
      <c r="I74" s="394" t="n"/>
      <c r="J74" s="400" t="n"/>
      <c r="N74" s="401" t="n"/>
    </row>
    <row r="75" ht="34.5" customFormat="1" customHeight="1" s="29">
      <c r="A75" s="129" t="n">
        <v>5</v>
      </c>
      <c r="B75" s="325" t="n"/>
      <c r="C75" s="394" t="n"/>
      <c r="D75" s="394" t="n"/>
      <c r="E75" s="394" t="n"/>
      <c r="F75" s="394" t="n"/>
      <c r="G75" s="394" t="n"/>
      <c r="H75" s="394" t="n"/>
      <c r="I75" s="394" t="n"/>
      <c r="J75" s="400" t="n"/>
      <c r="N75" s="401" t="n"/>
    </row>
    <row r="76" ht="34.5" customFormat="1" customHeight="1" s="29">
      <c r="A76" s="129" t="n">
        <v>6</v>
      </c>
      <c r="B76" s="325" t="n"/>
      <c r="C76" s="394" t="n"/>
      <c r="D76" s="394" t="n"/>
      <c r="E76" s="394" t="n"/>
      <c r="F76" s="394" t="n"/>
      <c r="G76" s="394" t="n"/>
      <c r="H76" s="394" t="n"/>
      <c r="I76" s="394" t="n"/>
      <c r="J76" s="400" t="n"/>
      <c r="N76" s="401" t="n"/>
    </row>
    <row r="77" ht="34.5" customFormat="1" customHeight="1" s="29" thickBot="1">
      <c r="A77" s="129" t="n">
        <v>7</v>
      </c>
      <c r="B77" s="319" t="n"/>
      <c r="C77" s="403" t="n"/>
      <c r="D77" s="403" t="n"/>
      <c r="E77" s="403" t="n"/>
      <c r="F77" s="403" t="n"/>
      <c r="G77" s="403" t="n"/>
      <c r="H77" s="403" t="n"/>
      <c r="I77" s="403" t="n"/>
      <c r="J77" s="402" t="n"/>
      <c r="K77" s="403" t="n"/>
      <c r="L77" s="403" t="n"/>
      <c r="M77" s="403" t="n"/>
      <c r="N77" s="404" t="n"/>
    </row>
    <row r="78">
      <c r="B78" s="282" t="inlineStr">
        <is>
          <t>En aquest document s'està realitzant un tractament de dades de l'alumnat que està regulat per la normativa vigent en matèria de Protecció de Dades de Caràcter Personal (LOPD 3/2018 i Resolució Conselleria
Educació, Investigació, Cultura i Esport del 28/6/2018). Recorda que les dades han de ser tractats de manera responsable i que has de guardar secret professional i no cedir o divulgar les dades ací contingudes.</t>
        </is>
      </c>
      <c r="C78" s="386" t="n"/>
      <c r="D78" s="386" t="n"/>
      <c r="E78" s="386" t="n"/>
      <c r="F78" s="386" t="n"/>
      <c r="G78" s="386" t="n"/>
      <c r="H78" s="386" t="n"/>
      <c r="I78" s="386" t="n"/>
      <c r="J78" s="386" t="n"/>
      <c r="K78" s="386" t="n"/>
      <c r="L78" s="386" t="n"/>
      <c r="M78" s="386" t="n"/>
      <c r="N78" s="386" t="n"/>
    </row>
    <row r="79" ht="15.6" customHeight="1"/>
  </sheetData>
  <mergeCells count="66">
    <mergeCell ref="E36:N36"/>
    <mergeCell ref="E49:N49"/>
    <mergeCell ref="E27:N27"/>
    <mergeCell ref="E45:N45"/>
    <mergeCell ref="B75:I75"/>
    <mergeCell ref="B11:M11"/>
    <mergeCell ref="B9:N9"/>
    <mergeCell ref="D2:F6"/>
    <mergeCell ref="E57:N57"/>
    <mergeCell ref="J3:M3"/>
    <mergeCell ref="B72:I72"/>
    <mergeCell ref="B14:M14"/>
    <mergeCell ref="N14:Y14"/>
    <mergeCell ref="B15:N15"/>
    <mergeCell ref="E54:N54"/>
    <mergeCell ref="B71:I71"/>
    <mergeCell ref="E32:N32"/>
    <mergeCell ref="B20:N20"/>
    <mergeCell ref="E41:N41"/>
    <mergeCell ref="E66:N66"/>
    <mergeCell ref="E37:N37"/>
    <mergeCell ref="E53:N53"/>
    <mergeCell ref="B77:I77"/>
    <mergeCell ref="E47:N47"/>
    <mergeCell ref="E56:N56"/>
    <mergeCell ref="E50:N50"/>
    <mergeCell ref="B2:C6"/>
    <mergeCell ref="E43:N43"/>
    <mergeCell ref="B78:N79"/>
    <mergeCell ref="B25:N25"/>
    <mergeCell ref="J5:M5"/>
    <mergeCell ref="E55:N55"/>
    <mergeCell ref="E42:N42"/>
    <mergeCell ref="B73:I73"/>
    <mergeCell ref="E52:N52"/>
    <mergeCell ref="E67:N67"/>
    <mergeCell ref="E33:N33"/>
    <mergeCell ref="G2:G6"/>
    <mergeCell ref="E39:N39"/>
    <mergeCell ref="E48:N48"/>
    <mergeCell ref="B12:N12"/>
    <mergeCell ref="E64:N64"/>
    <mergeCell ref="E44:N44"/>
    <mergeCell ref="B18:N18"/>
    <mergeCell ref="E29:N29"/>
    <mergeCell ref="E35:N35"/>
    <mergeCell ref="E51:N51"/>
    <mergeCell ref="J6:M6"/>
    <mergeCell ref="E38:N38"/>
    <mergeCell ref="E63:N63"/>
    <mergeCell ref="E28:N28"/>
    <mergeCell ref="B74:I74"/>
    <mergeCell ref="N11:Y11"/>
    <mergeCell ref="E31:N31"/>
    <mergeCell ref="E40:N40"/>
    <mergeCell ref="E34:N34"/>
    <mergeCell ref="J4:M4"/>
    <mergeCell ref="J2:N2"/>
    <mergeCell ref="E65:N65"/>
    <mergeCell ref="E30:N30"/>
    <mergeCell ref="B22:N23"/>
    <mergeCell ref="B76:I76"/>
    <mergeCell ref="B69:N69"/>
    <mergeCell ref="J7:M7"/>
    <mergeCell ref="E46:N46"/>
    <mergeCell ref="J71:N77"/>
  </mergeCells>
  <dataValidations count="1">
    <dataValidation sqref="J7:M7" showDropDown="0" showInputMessage="1" showErrorMessage="1" allowBlank="1" type="date">
      <formula1>45170</formula1>
      <formula2>47664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A1:Y79"/>
  <sheetViews>
    <sheetView topLeftCell="A49" workbookViewId="0">
      <selection activeCell="B28" sqref="B28:C67"/>
    </sheetView>
  </sheetViews>
  <sheetFormatPr baseColWidth="10" defaultColWidth="0" defaultRowHeight="15.75" zeroHeight="1"/>
  <cols>
    <col width="3.265625" customWidth="1" style="248" min="1" max="1"/>
    <col width="21.73046875" customWidth="1" style="248" min="2" max="2"/>
    <col width="25.265625" customWidth="1" style="248" min="3" max="3"/>
    <col width="12.59765625" customWidth="1" style="248" min="4" max="8"/>
    <col width="16.265625" customWidth="1" style="248" min="9" max="9"/>
    <col width="12.59765625" customWidth="1" style="248" min="10" max="13"/>
    <col width="2.73046875" customWidth="1" style="248" min="14" max="14"/>
    <col hidden="1" style="248" min="15" max="22"/>
    <col hidden="1" width="4.3984375" customWidth="1" style="248" min="23" max="181"/>
    <col hidden="1" style="248" min="182" max="16383"/>
    <col width="5" customWidth="1" style="248" min="16384" max="16384"/>
  </cols>
  <sheetData>
    <row r="1" ht="29.25" customHeight="1">
      <c r="B1" s="29" t="n"/>
      <c r="C1" s="29" t="n"/>
      <c r="D1" s="29" t="n"/>
      <c r="E1" s="29" t="n"/>
      <c r="F1" s="29" t="n"/>
      <c r="G1" s="29" t="n"/>
      <c r="H1" s="29" t="n"/>
      <c r="I1" s="177" t="inlineStr">
        <is>
          <t xml:space="preserve">Reunió equip docent </t>
        </is>
      </c>
      <c r="J1" s="30" t="n"/>
      <c r="K1" s="30" t="n"/>
      <c r="L1" s="31" t="inlineStr">
        <is>
          <t>Ed01 - Setem.25</t>
        </is>
      </c>
      <c r="M1" s="30" t="n"/>
    </row>
    <row r="2" ht="15.75" customHeight="1">
      <c r="B2" s="197" t="e">
        <v>#VALUE!</v>
      </c>
      <c r="D2" s="197" t="e">
        <v>#VALUE!</v>
      </c>
      <c r="G2" s="197" t="n"/>
      <c r="H2" s="197" t="n"/>
      <c r="J2" s="248" t="n"/>
    </row>
    <row r="3" ht="15.75" customHeight="1">
      <c r="H3" s="197" t="n"/>
      <c r="I3" s="70" t="inlineStr">
        <is>
          <t>GRUP</t>
        </is>
      </c>
      <c r="J3" s="198">
        <f>IF(INDEX!G3 = "", "", INDEX!G3)</f>
        <v/>
      </c>
      <c r="K3" s="387" t="n"/>
      <c r="L3" s="387" t="n"/>
      <c r="M3" s="387" t="n"/>
    </row>
    <row r="4" ht="15.75" customHeight="1">
      <c r="H4" s="197" t="n"/>
      <c r="I4" s="317" t="inlineStr">
        <is>
          <t>TUTOR/A</t>
        </is>
      </c>
      <c r="J4" s="198">
        <f>IF(INDEX!G4 = "", "", INDEX!G4)</f>
        <v/>
      </c>
      <c r="K4" s="387" t="n"/>
      <c r="L4" s="387" t="n"/>
      <c r="M4" s="387" t="n"/>
    </row>
    <row r="5" hidden="1" ht="15.75" customHeight="1">
      <c r="A5" s="184" t="n"/>
      <c r="H5" s="197" t="n"/>
      <c r="J5" s="198" t="n"/>
      <c r="K5" s="387" t="n"/>
      <c r="L5" s="387" t="n"/>
      <c r="M5" s="387" t="n"/>
    </row>
    <row r="6" ht="15.75" customHeight="1" thickBot="1">
      <c r="H6" s="197" t="n"/>
      <c r="I6" s="71" t="inlineStr">
        <is>
          <t>CURS ESCOLAR</t>
        </is>
      </c>
      <c r="J6" s="198">
        <f>INDEX!G5</f>
        <v/>
      </c>
      <c r="K6" s="387" t="n"/>
      <c r="L6" s="387" t="n"/>
      <c r="M6" s="387" t="n"/>
    </row>
    <row r="7">
      <c r="B7" s="29" t="n"/>
      <c r="C7" s="29" t="n"/>
      <c r="D7" s="197" t="n"/>
      <c r="E7" s="197" t="n"/>
      <c r="F7" s="197" t="n"/>
      <c r="G7" s="197" t="n"/>
      <c r="H7" s="197" t="n"/>
      <c r="I7" s="73" t="inlineStr">
        <is>
          <t>DATA REUNIÓ</t>
        </is>
      </c>
      <c r="J7" s="249" t="n"/>
      <c r="K7" s="386" t="n"/>
      <c r="L7" s="386" t="n"/>
      <c r="M7" s="386" t="n"/>
    </row>
    <row r="9" ht="21" customFormat="1" customHeight="1" s="37">
      <c r="B9" s="196" t="inlineStr">
        <is>
          <t>1- Seguiment i evolució del grup</t>
        </is>
      </c>
    </row>
    <row r="11" ht="15.6" customHeight="1">
      <c r="B11" s="250" t="inlineStr">
        <is>
          <t>Revisió d'acords anteriors</t>
        </is>
      </c>
      <c r="N11" s="250" t="n"/>
    </row>
    <row r="12" ht="56.25" customHeight="1">
      <c r="B12" s="437" t="n"/>
      <c r="C12" s="383" t="n"/>
      <c r="D12" s="383" t="n"/>
      <c r="E12" s="383" t="n"/>
      <c r="F12" s="383" t="n"/>
      <c r="G12" s="383" t="n"/>
      <c r="H12" s="383" t="n"/>
      <c r="I12" s="383" t="n"/>
      <c r="J12" s="383" t="n"/>
      <c r="K12" s="383" t="n"/>
      <c r="L12" s="383" t="n"/>
      <c r="M12" s="383" t="n"/>
      <c r="N12" s="424" t="n"/>
    </row>
    <row r="14">
      <c r="B14" s="250" t="inlineStr">
        <is>
          <t>Anàlisis del rendiment general del grup - Punts forts (aspectes positius en l'aprenentatge, participació, ambient de grup, etc.)</t>
        </is>
      </c>
      <c r="N14" s="250" t="n"/>
    </row>
    <row r="15" ht="56.25" customHeight="1">
      <c r="B15" s="437" t="n"/>
      <c r="C15" s="383" t="n"/>
      <c r="D15" s="383" t="n"/>
      <c r="E15" s="383" t="n"/>
      <c r="F15" s="383" t="n"/>
      <c r="G15" s="383" t="n"/>
      <c r="H15" s="383" t="n"/>
      <c r="I15" s="383" t="n"/>
      <c r="J15" s="383" t="n"/>
      <c r="K15" s="383" t="n"/>
      <c r="L15" s="383" t="n"/>
      <c r="M15" s="383" t="n"/>
      <c r="N15" s="424" t="n"/>
    </row>
    <row r="16" hidden="1" customHeight="1"/>
    <row r="17">
      <c r="B17" s="178" t="inlineStr">
        <is>
          <t>Anàlisi del rendiment general del grup - Aspectes a millorar (dificultats observades a nivell grupal ex. falta de participació, problemes de convivència, baixos resultats en determinats RA o mòduls)</t>
        </is>
      </c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8" t="n"/>
      <c r="L17" s="178" t="n"/>
      <c r="M17" s="178" t="n"/>
      <c r="N17" s="178" t="n"/>
    </row>
    <row r="18" ht="56.25" customHeight="1">
      <c r="B18" s="437" t="n"/>
      <c r="C18" s="383" t="n"/>
      <c r="D18" s="383" t="n"/>
      <c r="E18" s="383" t="n"/>
      <c r="F18" s="383" t="n"/>
      <c r="G18" s="383" t="n"/>
      <c r="H18" s="383" t="n"/>
      <c r="I18" s="383" t="n"/>
      <c r="J18" s="383" t="n"/>
      <c r="K18" s="383" t="n"/>
      <c r="L18" s="383" t="n"/>
      <c r="M18" s="383" t="n"/>
      <c r="N18" s="424" t="n"/>
    </row>
    <row r="20" ht="21" customFormat="1" customHeight="1" s="37">
      <c r="B20" s="196" t="inlineStr">
        <is>
          <t>2- Valoració del procés d'ensenyament-aprenentatge</t>
        </is>
      </c>
    </row>
    <row r="22" ht="15.6" customHeight="1">
      <c r="B22" s="438" t="n"/>
      <c r="C22" s="430" t="n"/>
      <c r="D22" s="430" t="n"/>
      <c r="E22" s="430" t="n"/>
      <c r="F22" s="430" t="n"/>
      <c r="G22" s="430" t="n"/>
      <c r="H22" s="430" t="n"/>
      <c r="I22" s="430" t="n"/>
      <c r="J22" s="430" t="n"/>
      <c r="K22" s="430" t="n"/>
      <c r="L22" s="430" t="n"/>
      <c r="M22" s="430" t="n"/>
      <c r="N22" s="427" t="n"/>
    </row>
    <row r="23" ht="253.5" customHeight="1">
      <c r="B23" s="439" t="n"/>
      <c r="C23" s="389" t="n"/>
      <c r="D23" s="389" t="n"/>
      <c r="E23" s="389" t="n"/>
      <c r="F23" s="389" t="n"/>
      <c r="G23" s="389" t="n"/>
      <c r="H23" s="389" t="n"/>
      <c r="I23" s="389" t="n"/>
      <c r="J23" s="389" t="n"/>
      <c r="K23" s="389" t="n"/>
      <c r="L23" s="389" t="n"/>
      <c r="M23" s="389" t="n"/>
      <c r="N23" s="428" t="n"/>
    </row>
    <row r="25" ht="21" customFormat="1" customHeight="1" s="37">
      <c r="B25" s="196" t="inlineStr">
        <is>
          <t>3- Anàlisi individual de l'alumnat</t>
        </is>
      </c>
    </row>
    <row r="27" ht="45.75" customFormat="1" customHeight="1" s="188">
      <c r="B27" s="160" t="inlineStr">
        <is>
          <t>NIA</t>
        </is>
      </c>
      <c r="C27" s="251" t="inlineStr">
        <is>
          <t>Alumne/a</t>
        </is>
      </c>
      <c r="D27" s="251" t="inlineStr">
        <is>
          <t>Estat3rT</t>
        </is>
      </c>
      <c r="E27" s="252" t="inlineStr">
        <is>
          <t>Valoració del progrés en la consecució dels Resultats d'Aprenentatge (RA) i les competències professionals i per a l'ocupabilitat - Identificació d'alumnat amb progrés no adequat i registre del seguiment i suports individualitzats</t>
        </is>
      </c>
      <c r="F27" s="387" t="n"/>
      <c r="G27" s="387" t="n"/>
      <c r="H27" s="387" t="n"/>
      <c r="I27" s="387" t="n"/>
      <c r="J27" s="387" t="n"/>
      <c r="K27" s="387" t="n"/>
      <c r="L27" s="387" t="n"/>
      <c r="M27" s="387" t="n"/>
      <c r="N27" s="406" t="n"/>
    </row>
    <row r="28" ht="47.25" customHeight="1">
      <c r="A28" s="188" t="n">
        <v>1</v>
      </c>
      <c r="B28" s="163">
        <f>IF('0 AVAL'!B36 = "", "", '0 AVAL'!B36)</f>
        <v/>
      </c>
      <c r="C28" s="163">
        <f>IF('0 AVAL'!C36 = "", "", '0 AVAL'!C36)</f>
        <v/>
      </c>
      <c r="D28" s="164" t="n"/>
      <c r="E28" s="440" t="inlineStr">
        <is>
          <t xml:space="preserve">
</t>
        </is>
      </c>
      <c r="F28" s="394" t="n"/>
      <c r="G28" s="394" t="n"/>
      <c r="H28" s="394" t="n"/>
      <c r="I28" s="394" t="n"/>
      <c r="J28" s="394" t="n"/>
      <c r="K28" s="394" t="n"/>
      <c r="L28" s="394" t="n"/>
      <c r="M28" s="394" t="n"/>
      <c r="N28" s="441" t="n"/>
    </row>
    <row r="29" ht="47.25" customHeight="1">
      <c r="A29" s="188" t="n">
        <v>2</v>
      </c>
      <c r="B29" s="163">
        <f>IF('0 AVAL'!B37 = "", "", '0 AVAL'!B37)</f>
        <v/>
      </c>
      <c r="C29" s="163">
        <f>IF('0 AVAL'!C37 = "", "", '0 AVAL'!C37)</f>
        <v/>
      </c>
      <c r="D29" s="145" t="n"/>
      <c r="E29" s="442" t="n"/>
      <c r="F29" s="387" t="n"/>
      <c r="G29" s="387" t="n"/>
      <c r="H29" s="387" t="n"/>
      <c r="I29" s="387" t="n"/>
      <c r="J29" s="387" t="n"/>
      <c r="K29" s="387" t="n"/>
      <c r="L29" s="387" t="n"/>
      <c r="M29" s="387" t="n"/>
      <c r="N29" s="406" t="n"/>
    </row>
    <row r="30" ht="47.25" customHeight="1">
      <c r="A30" s="188" t="n">
        <v>3</v>
      </c>
      <c r="B30" s="163">
        <f>IF('0 AVAL'!B38 = "", "", '0 AVAL'!B38)</f>
        <v/>
      </c>
      <c r="C30" s="163">
        <f>IF('0 AVAL'!C38 = "", "", '0 AVAL'!C38)</f>
        <v/>
      </c>
      <c r="D30" s="145" t="n"/>
      <c r="E30" s="442" t="n"/>
      <c r="F30" s="387" t="n"/>
      <c r="G30" s="387" t="n"/>
      <c r="H30" s="387" t="n"/>
      <c r="I30" s="387" t="n"/>
      <c r="J30" s="387" t="n"/>
      <c r="K30" s="387" t="n"/>
      <c r="L30" s="387" t="n"/>
      <c r="M30" s="387" t="n"/>
      <c r="N30" s="406" t="n"/>
    </row>
    <row r="31" ht="47.25" customHeight="1">
      <c r="A31" s="188" t="n">
        <v>4</v>
      </c>
      <c r="B31" s="163">
        <f>IF('0 AVAL'!B39 = "", "", '0 AVAL'!B39)</f>
        <v/>
      </c>
      <c r="C31" s="163">
        <f>IF('0 AVAL'!C39 = "", "", '0 AVAL'!C39)</f>
        <v/>
      </c>
      <c r="D31" s="145" t="n"/>
      <c r="E31" s="442" t="n"/>
      <c r="F31" s="387" t="n"/>
      <c r="G31" s="387" t="n"/>
      <c r="H31" s="387" t="n"/>
      <c r="I31" s="387" t="n"/>
      <c r="J31" s="387" t="n"/>
      <c r="K31" s="387" t="n"/>
      <c r="L31" s="387" t="n"/>
      <c r="M31" s="387" t="n"/>
      <c r="N31" s="406" t="n"/>
    </row>
    <row r="32" ht="47.25" customHeight="1">
      <c r="A32" s="188" t="n">
        <v>5</v>
      </c>
      <c r="B32" s="163">
        <f>IF('0 AVAL'!B40 = "", "", '0 AVAL'!B40)</f>
        <v/>
      </c>
      <c r="C32" s="163">
        <f>IF('0 AVAL'!C40 = "", "", '0 AVAL'!C40)</f>
        <v/>
      </c>
      <c r="D32" s="145" t="n"/>
      <c r="E32" s="442" t="n"/>
      <c r="F32" s="387" t="n"/>
      <c r="G32" s="387" t="n"/>
      <c r="H32" s="387" t="n"/>
      <c r="I32" s="387" t="n"/>
      <c r="J32" s="387" t="n"/>
      <c r="K32" s="387" t="n"/>
      <c r="L32" s="387" t="n"/>
      <c r="M32" s="387" t="n"/>
      <c r="N32" s="406" t="n"/>
    </row>
    <row r="33" ht="47.25" customHeight="1">
      <c r="A33" s="188" t="n">
        <v>6</v>
      </c>
      <c r="B33" s="163">
        <f>IF('0 AVAL'!B41 = "", "", '0 AVAL'!B41)</f>
        <v/>
      </c>
      <c r="C33" s="163">
        <f>IF('0 AVAL'!C41 = "", "", '0 AVAL'!C41)</f>
        <v/>
      </c>
      <c r="D33" s="145" t="n"/>
      <c r="E33" s="442" t="n"/>
      <c r="F33" s="387" t="n"/>
      <c r="G33" s="387" t="n"/>
      <c r="H33" s="387" t="n"/>
      <c r="I33" s="387" t="n"/>
      <c r="J33" s="387" t="n"/>
      <c r="K33" s="387" t="n"/>
      <c r="L33" s="387" t="n"/>
      <c r="M33" s="387" t="n"/>
      <c r="N33" s="406" t="n"/>
    </row>
    <row r="34" ht="47.25" customHeight="1">
      <c r="A34" s="188" t="n">
        <v>7</v>
      </c>
      <c r="B34" s="163">
        <f>IF('0 AVAL'!B42 = "", "", '0 AVAL'!B42)</f>
        <v/>
      </c>
      <c r="C34" s="163">
        <f>IF('0 AVAL'!C42 = "", "", '0 AVAL'!C42)</f>
        <v/>
      </c>
      <c r="D34" s="145" t="n"/>
      <c r="E34" s="442" t="n"/>
      <c r="F34" s="387" t="n"/>
      <c r="G34" s="387" t="n"/>
      <c r="H34" s="387" t="n"/>
      <c r="I34" s="387" t="n"/>
      <c r="J34" s="387" t="n"/>
      <c r="K34" s="387" t="n"/>
      <c r="L34" s="387" t="n"/>
      <c r="M34" s="387" t="n"/>
      <c r="N34" s="406" t="n"/>
    </row>
    <row r="35" ht="47.25" customHeight="1">
      <c r="A35" s="188" t="n">
        <v>8</v>
      </c>
      <c r="B35" s="163">
        <f>IF('0 AVAL'!B43 = "", "", '0 AVAL'!B43)</f>
        <v/>
      </c>
      <c r="C35" s="163">
        <f>IF('0 AVAL'!C43 = "", "", '0 AVAL'!C43)</f>
        <v/>
      </c>
      <c r="D35" s="145" t="n"/>
      <c r="E35" s="442" t="n"/>
      <c r="F35" s="387" t="n"/>
      <c r="G35" s="387" t="n"/>
      <c r="H35" s="387" t="n"/>
      <c r="I35" s="387" t="n"/>
      <c r="J35" s="387" t="n"/>
      <c r="K35" s="387" t="n"/>
      <c r="L35" s="387" t="n"/>
      <c r="M35" s="387" t="n"/>
      <c r="N35" s="406" t="n"/>
    </row>
    <row r="36" ht="47.25" customHeight="1">
      <c r="A36" s="188" t="n">
        <v>9</v>
      </c>
      <c r="B36" s="163">
        <f>IF('0 AVAL'!B44 = "", "", '0 AVAL'!B44)</f>
        <v/>
      </c>
      <c r="C36" s="163">
        <f>IF('0 AVAL'!C44 = "", "", '0 AVAL'!C44)</f>
        <v/>
      </c>
      <c r="D36" s="145" t="n"/>
      <c r="E36" s="442" t="n"/>
      <c r="F36" s="387" t="n"/>
      <c r="G36" s="387" t="n"/>
      <c r="H36" s="387" t="n"/>
      <c r="I36" s="387" t="n"/>
      <c r="J36" s="387" t="n"/>
      <c r="K36" s="387" t="n"/>
      <c r="L36" s="387" t="n"/>
      <c r="M36" s="387" t="n"/>
      <c r="N36" s="406" t="n"/>
    </row>
    <row r="37" ht="47.25" customHeight="1">
      <c r="A37" s="188" t="n">
        <v>10</v>
      </c>
      <c r="B37" s="163">
        <f>IF('0 AVAL'!B45 = "", "", '0 AVAL'!B45)</f>
        <v/>
      </c>
      <c r="C37" s="163">
        <f>IF('0 AVAL'!C45 = "", "", '0 AVAL'!C45)</f>
        <v/>
      </c>
      <c r="D37" s="145" t="n"/>
      <c r="E37" s="442" t="n"/>
      <c r="F37" s="387" t="n"/>
      <c r="G37" s="387" t="n"/>
      <c r="H37" s="387" t="n"/>
      <c r="I37" s="387" t="n"/>
      <c r="J37" s="387" t="n"/>
      <c r="K37" s="387" t="n"/>
      <c r="L37" s="387" t="n"/>
      <c r="M37" s="387" t="n"/>
      <c r="N37" s="406" t="n"/>
    </row>
    <row r="38" ht="47.25" customHeight="1">
      <c r="A38" s="188" t="n">
        <v>11</v>
      </c>
      <c r="B38" s="163">
        <f>IF('0 AVAL'!B46 = "", "", '0 AVAL'!B46)</f>
        <v/>
      </c>
      <c r="C38" s="163">
        <f>IF('0 AVAL'!C46 = "", "", '0 AVAL'!C46)</f>
        <v/>
      </c>
      <c r="D38" s="145" t="n"/>
      <c r="E38" s="442" t="n"/>
      <c r="F38" s="387" t="n"/>
      <c r="G38" s="387" t="n"/>
      <c r="H38" s="387" t="n"/>
      <c r="I38" s="387" t="n"/>
      <c r="J38" s="387" t="n"/>
      <c r="K38" s="387" t="n"/>
      <c r="L38" s="387" t="n"/>
      <c r="M38" s="387" t="n"/>
      <c r="N38" s="406" t="n"/>
    </row>
    <row r="39" ht="47.25" customHeight="1">
      <c r="A39" s="188" t="n">
        <v>12</v>
      </c>
      <c r="B39" s="163">
        <f>IF('0 AVAL'!B47 = "", "", '0 AVAL'!B47)</f>
        <v/>
      </c>
      <c r="C39" s="163">
        <f>IF('0 AVAL'!C47 = "", "", '0 AVAL'!C47)</f>
        <v/>
      </c>
      <c r="D39" s="145" t="n"/>
      <c r="E39" s="442" t="n"/>
      <c r="F39" s="387" t="n"/>
      <c r="G39" s="387" t="n"/>
      <c r="H39" s="387" t="n"/>
      <c r="I39" s="387" t="n"/>
      <c r="J39" s="387" t="n"/>
      <c r="K39" s="387" t="n"/>
      <c r="L39" s="387" t="n"/>
      <c r="M39" s="387" t="n"/>
      <c r="N39" s="406" t="n"/>
    </row>
    <row r="40" ht="47.25" customHeight="1">
      <c r="A40" s="188" t="n">
        <v>13</v>
      </c>
      <c r="B40" s="163">
        <f>IF('0 AVAL'!B48 = "", "", '0 AVAL'!B48)</f>
        <v/>
      </c>
      <c r="C40" s="163">
        <f>IF('0 AVAL'!C48 = "", "", '0 AVAL'!C48)</f>
        <v/>
      </c>
      <c r="D40" s="145" t="n"/>
      <c r="E40" s="442" t="n"/>
      <c r="F40" s="387" t="n"/>
      <c r="G40" s="387" t="n"/>
      <c r="H40" s="387" t="n"/>
      <c r="I40" s="387" t="n"/>
      <c r="J40" s="387" t="n"/>
      <c r="K40" s="387" t="n"/>
      <c r="L40" s="387" t="n"/>
      <c r="M40" s="387" t="n"/>
      <c r="N40" s="406" t="n"/>
    </row>
    <row r="41" ht="47.25" customHeight="1">
      <c r="A41" s="188" t="n">
        <v>14</v>
      </c>
      <c r="B41" s="163">
        <f>IF('0 AVAL'!B49 = "", "", '0 AVAL'!B49)</f>
        <v/>
      </c>
      <c r="C41" s="163">
        <f>IF('0 AVAL'!C49 = "", "", '0 AVAL'!C49)</f>
        <v/>
      </c>
      <c r="D41" s="145" t="n"/>
      <c r="E41" s="442" t="n"/>
      <c r="F41" s="387" t="n"/>
      <c r="G41" s="387" t="n"/>
      <c r="H41" s="387" t="n"/>
      <c r="I41" s="387" t="n"/>
      <c r="J41" s="387" t="n"/>
      <c r="K41" s="387" t="n"/>
      <c r="L41" s="387" t="n"/>
      <c r="M41" s="387" t="n"/>
      <c r="N41" s="406" t="n"/>
    </row>
    <row r="42" ht="47.25" customHeight="1">
      <c r="A42" s="188" t="n">
        <v>15</v>
      </c>
      <c r="B42" s="163">
        <f>IF('0 AVAL'!B50 = "", "", '0 AVAL'!B50)</f>
        <v/>
      </c>
      <c r="C42" s="163">
        <f>IF('0 AVAL'!C50 = "", "", '0 AVAL'!C50)</f>
        <v/>
      </c>
      <c r="D42" s="145" t="n"/>
      <c r="E42" s="442" t="n"/>
      <c r="F42" s="387" t="n"/>
      <c r="G42" s="387" t="n"/>
      <c r="H42" s="387" t="n"/>
      <c r="I42" s="387" t="n"/>
      <c r="J42" s="387" t="n"/>
      <c r="K42" s="387" t="n"/>
      <c r="L42" s="387" t="n"/>
      <c r="M42" s="387" t="n"/>
      <c r="N42" s="406" t="n"/>
    </row>
    <row r="43" ht="47.25" customHeight="1">
      <c r="A43" s="188" t="n">
        <v>16</v>
      </c>
      <c r="B43" s="163">
        <f>IF('0 AVAL'!B51 = "", "", '0 AVAL'!B51)</f>
        <v/>
      </c>
      <c r="C43" s="163">
        <f>IF('0 AVAL'!C51 = "", "", '0 AVAL'!C51)</f>
        <v/>
      </c>
      <c r="D43" s="145" t="n"/>
      <c r="E43" s="442" t="n"/>
      <c r="F43" s="387" t="n"/>
      <c r="G43" s="387" t="n"/>
      <c r="H43" s="387" t="n"/>
      <c r="I43" s="387" t="n"/>
      <c r="J43" s="387" t="n"/>
      <c r="K43" s="387" t="n"/>
      <c r="L43" s="387" t="n"/>
      <c r="M43" s="387" t="n"/>
      <c r="N43" s="406" t="n"/>
    </row>
    <row r="44" ht="47.25" customHeight="1">
      <c r="A44" s="188" t="n">
        <v>17</v>
      </c>
      <c r="B44" s="163">
        <f>IF('0 AVAL'!B52 = "", "", '0 AVAL'!B52)</f>
        <v/>
      </c>
      <c r="C44" s="163">
        <f>IF('0 AVAL'!C52 = "", "", '0 AVAL'!C52)</f>
        <v/>
      </c>
      <c r="D44" s="145" t="n"/>
      <c r="E44" s="442" t="n"/>
      <c r="F44" s="387" t="n"/>
      <c r="G44" s="387" t="n"/>
      <c r="H44" s="387" t="n"/>
      <c r="I44" s="387" t="n"/>
      <c r="J44" s="387" t="n"/>
      <c r="K44" s="387" t="n"/>
      <c r="L44" s="387" t="n"/>
      <c r="M44" s="387" t="n"/>
      <c r="N44" s="406" t="n"/>
    </row>
    <row r="45" ht="47.25" customHeight="1">
      <c r="A45" s="188" t="n">
        <v>18</v>
      </c>
      <c r="B45" s="163">
        <f>IF('0 AVAL'!B53 = "", "", '0 AVAL'!B53)</f>
        <v/>
      </c>
      <c r="C45" s="163">
        <f>IF('0 AVAL'!C53 = "", "", '0 AVAL'!C53)</f>
        <v/>
      </c>
      <c r="D45" s="145" t="n"/>
      <c r="E45" s="442" t="n"/>
      <c r="F45" s="387" t="n"/>
      <c r="G45" s="387" t="n"/>
      <c r="H45" s="387" t="n"/>
      <c r="I45" s="387" t="n"/>
      <c r="J45" s="387" t="n"/>
      <c r="K45" s="387" t="n"/>
      <c r="L45" s="387" t="n"/>
      <c r="M45" s="387" t="n"/>
      <c r="N45" s="406" t="n"/>
    </row>
    <row r="46" ht="47.25" customHeight="1">
      <c r="A46" s="188" t="n">
        <v>19</v>
      </c>
      <c r="B46" s="163">
        <f>IF('0 AVAL'!B54 = "", "", '0 AVAL'!B54)</f>
        <v/>
      </c>
      <c r="C46" s="163">
        <f>IF('0 AVAL'!C54 = "", "", '0 AVAL'!C54)</f>
        <v/>
      </c>
      <c r="D46" s="145" t="n"/>
      <c r="E46" s="442" t="n"/>
      <c r="F46" s="387" t="n"/>
      <c r="G46" s="387" t="n"/>
      <c r="H46" s="387" t="n"/>
      <c r="I46" s="387" t="n"/>
      <c r="J46" s="387" t="n"/>
      <c r="K46" s="387" t="n"/>
      <c r="L46" s="387" t="n"/>
      <c r="M46" s="387" t="n"/>
      <c r="N46" s="406" t="n"/>
    </row>
    <row r="47" ht="47.25" customHeight="1">
      <c r="A47" s="188" t="n">
        <v>20</v>
      </c>
      <c r="B47" s="163">
        <f>IF('0 AVAL'!B55 = "", "", '0 AVAL'!B55)</f>
        <v/>
      </c>
      <c r="C47" s="163">
        <f>IF('0 AVAL'!C55 = "", "", '0 AVAL'!C55)</f>
        <v/>
      </c>
      <c r="D47" s="145" t="n"/>
      <c r="E47" s="442" t="n"/>
      <c r="F47" s="387" t="n"/>
      <c r="G47" s="387" t="n"/>
      <c r="H47" s="387" t="n"/>
      <c r="I47" s="387" t="n"/>
      <c r="J47" s="387" t="n"/>
      <c r="K47" s="387" t="n"/>
      <c r="L47" s="387" t="n"/>
      <c r="M47" s="387" t="n"/>
      <c r="N47" s="406" t="n"/>
    </row>
    <row r="48" ht="47.25" customHeight="1">
      <c r="A48" s="188" t="n">
        <v>21</v>
      </c>
      <c r="B48" s="163">
        <f>IF('0 AVAL'!B56 = "", "", '0 AVAL'!B56)</f>
        <v/>
      </c>
      <c r="C48" s="163">
        <f>IF('0 AVAL'!C56 = "", "", '0 AVAL'!C56)</f>
        <v/>
      </c>
      <c r="D48" s="145" t="n"/>
      <c r="E48" s="442" t="n"/>
      <c r="F48" s="387" t="n"/>
      <c r="G48" s="387" t="n"/>
      <c r="H48" s="387" t="n"/>
      <c r="I48" s="387" t="n"/>
      <c r="J48" s="387" t="n"/>
      <c r="K48" s="387" t="n"/>
      <c r="L48" s="387" t="n"/>
      <c r="M48" s="387" t="n"/>
      <c r="N48" s="406" t="n"/>
    </row>
    <row r="49" ht="47.25" customHeight="1">
      <c r="A49" s="188" t="n">
        <v>22</v>
      </c>
      <c r="B49" s="163">
        <f>IF('0 AVAL'!B57 = "", "", '0 AVAL'!B57)</f>
        <v/>
      </c>
      <c r="C49" s="163">
        <f>IF('0 AVAL'!C57 = "", "", '0 AVAL'!C57)</f>
        <v/>
      </c>
      <c r="D49" s="145" t="n"/>
      <c r="E49" s="442" t="n"/>
      <c r="F49" s="387" t="n"/>
      <c r="G49" s="387" t="n"/>
      <c r="H49" s="387" t="n"/>
      <c r="I49" s="387" t="n"/>
      <c r="J49" s="387" t="n"/>
      <c r="K49" s="387" t="n"/>
      <c r="L49" s="387" t="n"/>
      <c r="M49" s="387" t="n"/>
      <c r="N49" s="406" t="n"/>
    </row>
    <row r="50" ht="47.25" customHeight="1">
      <c r="A50" s="188" t="n">
        <v>23</v>
      </c>
      <c r="B50" s="163">
        <f>IF('0 AVAL'!B58 = "", "", '0 AVAL'!B58)</f>
        <v/>
      </c>
      <c r="C50" s="163">
        <f>IF('0 AVAL'!C58 = "", "", '0 AVAL'!C58)</f>
        <v/>
      </c>
      <c r="D50" s="145" t="n"/>
      <c r="E50" s="442" t="n"/>
      <c r="F50" s="387" t="n"/>
      <c r="G50" s="387" t="n"/>
      <c r="H50" s="387" t="n"/>
      <c r="I50" s="387" t="n"/>
      <c r="J50" s="387" t="n"/>
      <c r="K50" s="387" t="n"/>
      <c r="L50" s="387" t="n"/>
      <c r="M50" s="387" t="n"/>
      <c r="N50" s="406" t="n"/>
    </row>
    <row r="51" ht="47.25" customHeight="1">
      <c r="A51" s="188" t="n">
        <v>24</v>
      </c>
      <c r="B51" s="163">
        <f>IF('0 AVAL'!B59 = "", "", '0 AVAL'!B59)</f>
        <v/>
      </c>
      <c r="C51" s="163">
        <f>IF('0 AVAL'!C59 = "", "", '0 AVAL'!C59)</f>
        <v/>
      </c>
      <c r="D51" s="145" t="n"/>
      <c r="E51" s="442" t="n"/>
      <c r="F51" s="387" t="n"/>
      <c r="G51" s="387" t="n"/>
      <c r="H51" s="387" t="n"/>
      <c r="I51" s="387" t="n"/>
      <c r="J51" s="387" t="n"/>
      <c r="K51" s="387" t="n"/>
      <c r="L51" s="387" t="n"/>
      <c r="M51" s="387" t="n"/>
      <c r="N51" s="406" t="n"/>
    </row>
    <row r="52" ht="47.25" customHeight="1">
      <c r="A52" s="188" t="n">
        <v>25</v>
      </c>
      <c r="B52" s="163">
        <f>IF('0 AVAL'!B60 = "", "", '0 AVAL'!B60)</f>
        <v/>
      </c>
      <c r="C52" s="163">
        <f>IF('0 AVAL'!C60 = "", "", '0 AVAL'!C60)</f>
        <v/>
      </c>
      <c r="D52" s="145" t="n"/>
      <c r="E52" s="442" t="n"/>
      <c r="F52" s="387" t="n"/>
      <c r="G52" s="387" t="n"/>
      <c r="H52" s="387" t="n"/>
      <c r="I52" s="387" t="n"/>
      <c r="J52" s="387" t="n"/>
      <c r="K52" s="387" t="n"/>
      <c r="L52" s="387" t="n"/>
      <c r="M52" s="387" t="n"/>
      <c r="N52" s="406" t="n"/>
    </row>
    <row r="53" ht="47.25" customHeight="1">
      <c r="A53" s="188" t="n">
        <v>26</v>
      </c>
      <c r="B53" s="163">
        <f>IF('0 AVAL'!B61 = "", "", '0 AVAL'!B61)</f>
        <v/>
      </c>
      <c r="C53" s="163">
        <f>IF('0 AVAL'!C61 = "", "", '0 AVAL'!C61)</f>
        <v/>
      </c>
      <c r="D53" s="145" t="n"/>
      <c r="E53" s="442" t="n"/>
      <c r="F53" s="387" t="n"/>
      <c r="G53" s="387" t="n"/>
      <c r="H53" s="387" t="n"/>
      <c r="I53" s="387" t="n"/>
      <c r="J53" s="387" t="n"/>
      <c r="K53" s="387" t="n"/>
      <c r="L53" s="387" t="n"/>
      <c r="M53" s="387" t="n"/>
      <c r="N53" s="406" t="n"/>
    </row>
    <row r="54" ht="47.25" customHeight="1">
      <c r="A54" s="188" t="n">
        <v>27</v>
      </c>
      <c r="B54" s="163">
        <f>IF('0 AVAL'!B62 = "", "", '0 AVAL'!B62)</f>
        <v/>
      </c>
      <c r="C54" s="163">
        <f>IF('0 AVAL'!C62 = "", "", '0 AVAL'!C62)</f>
        <v/>
      </c>
      <c r="D54" s="145" t="n"/>
      <c r="E54" s="442" t="n"/>
      <c r="F54" s="387" t="n"/>
      <c r="G54" s="387" t="n"/>
      <c r="H54" s="387" t="n"/>
      <c r="I54" s="387" t="n"/>
      <c r="J54" s="387" t="n"/>
      <c r="K54" s="387" t="n"/>
      <c r="L54" s="387" t="n"/>
      <c r="M54" s="387" t="n"/>
      <c r="N54" s="406" t="n"/>
    </row>
    <row r="55" ht="47.25" customHeight="1">
      <c r="A55" s="188" t="n">
        <v>28</v>
      </c>
      <c r="B55" s="163">
        <f>IF('0 AVAL'!B63 = "", "", '0 AVAL'!B63)</f>
        <v/>
      </c>
      <c r="C55" s="163">
        <f>IF('0 AVAL'!C63 = "", "", '0 AVAL'!C63)</f>
        <v/>
      </c>
      <c r="D55" s="145" t="n"/>
      <c r="E55" s="442" t="n"/>
      <c r="F55" s="387" t="n"/>
      <c r="G55" s="387" t="n"/>
      <c r="H55" s="387" t="n"/>
      <c r="I55" s="387" t="n"/>
      <c r="J55" s="387" t="n"/>
      <c r="K55" s="387" t="n"/>
      <c r="L55" s="387" t="n"/>
      <c r="M55" s="387" t="n"/>
      <c r="N55" s="406" t="n"/>
    </row>
    <row r="56" ht="47.25" customHeight="1">
      <c r="A56" s="188" t="n">
        <v>29</v>
      </c>
      <c r="B56" s="163">
        <f>IF('0 AVAL'!B64 = "", "", '0 AVAL'!B64)</f>
        <v/>
      </c>
      <c r="C56" s="163">
        <f>IF('0 AVAL'!C64 = "", "", '0 AVAL'!C64)</f>
        <v/>
      </c>
      <c r="D56" s="145" t="n"/>
      <c r="E56" s="442" t="n"/>
      <c r="F56" s="387" t="n"/>
      <c r="G56" s="387" t="n"/>
      <c r="H56" s="387" t="n"/>
      <c r="I56" s="387" t="n"/>
      <c r="J56" s="387" t="n"/>
      <c r="K56" s="387" t="n"/>
      <c r="L56" s="387" t="n"/>
      <c r="M56" s="387" t="n"/>
      <c r="N56" s="406" t="n"/>
    </row>
    <row r="57" ht="47.25" customHeight="1">
      <c r="A57" s="188" t="n">
        <v>30</v>
      </c>
      <c r="B57" s="163">
        <f>IF('0 AVAL'!B65 = "", "", '0 AVAL'!B65)</f>
        <v/>
      </c>
      <c r="C57" s="163">
        <f>IF('0 AVAL'!C65 = "", "", '0 AVAL'!C65)</f>
        <v/>
      </c>
      <c r="D57" s="145" t="n"/>
      <c r="E57" s="442" t="n"/>
      <c r="F57" s="387" t="n"/>
      <c r="G57" s="387" t="n"/>
      <c r="H57" s="387" t="n"/>
      <c r="I57" s="387" t="n"/>
      <c r="J57" s="387" t="n"/>
      <c r="K57" s="387" t="n"/>
      <c r="L57" s="387" t="n"/>
      <c r="M57" s="387" t="n"/>
      <c r="N57" s="406" t="n"/>
    </row>
    <row r="58" ht="47.25" customHeight="1">
      <c r="A58" s="188" t="n">
        <v>31</v>
      </c>
      <c r="B58" s="163">
        <f>IF('0 AVAL'!B66 = "", "", '0 AVAL'!B66)</f>
        <v/>
      </c>
      <c r="C58" s="163">
        <f>IF('0 AVAL'!C66 = "", "", '0 AVAL'!C66)</f>
        <v/>
      </c>
      <c r="D58" s="145" t="n"/>
      <c r="E58" s="374" t="n"/>
      <c r="F58" s="375" t="n"/>
      <c r="G58" s="375" t="n"/>
      <c r="H58" s="375" t="n"/>
      <c r="I58" s="375" t="n"/>
      <c r="J58" s="375" t="n"/>
      <c r="K58" s="375" t="n"/>
      <c r="L58" s="375" t="n"/>
      <c r="M58" s="375" t="n"/>
      <c r="N58" s="376" t="n"/>
    </row>
    <row r="59" ht="47.25" customHeight="1">
      <c r="A59" s="188" t="n">
        <v>32</v>
      </c>
      <c r="B59" s="163">
        <f>IF('0 AVAL'!B67 = "", "", '0 AVAL'!B67)</f>
        <v/>
      </c>
      <c r="C59" s="163">
        <f>IF('0 AVAL'!C67 = "", "", '0 AVAL'!C67)</f>
        <v/>
      </c>
      <c r="D59" s="145" t="n"/>
      <c r="E59" s="374" t="n"/>
      <c r="F59" s="375" t="n"/>
      <c r="G59" s="375" t="n"/>
      <c r="H59" s="375" t="n"/>
      <c r="I59" s="375" t="n"/>
      <c r="J59" s="375" t="n"/>
      <c r="K59" s="375" t="n"/>
      <c r="L59" s="375" t="n"/>
      <c r="M59" s="375" t="n"/>
      <c r="N59" s="376" t="n"/>
    </row>
    <row r="60" ht="47.25" customHeight="1">
      <c r="A60" s="188" t="n">
        <v>33</v>
      </c>
      <c r="B60" s="163">
        <f>IF('0 AVAL'!B68 = "", "", '0 AVAL'!B68)</f>
        <v/>
      </c>
      <c r="C60" s="163">
        <f>IF('0 AVAL'!C68 = "", "", '0 AVAL'!C68)</f>
        <v/>
      </c>
      <c r="D60" s="145" t="n"/>
      <c r="E60" s="374" t="n"/>
      <c r="F60" s="375" t="n"/>
      <c r="G60" s="375" t="n"/>
      <c r="H60" s="375" t="n"/>
      <c r="I60" s="375" t="n"/>
      <c r="J60" s="375" t="n"/>
      <c r="K60" s="375" t="n"/>
      <c r="L60" s="375" t="n"/>
      <c r="M60" s="375" t="n"/>
      <c r="N60" s="376" t="n"/>
    </row>
    <row r="61" ht="47.25" customHeight="1">
      <c r="A61" s="188" t="n">
        <v>34</v>
      </c>
      <c r="B61" s="163">
        <f>IF('0 AVAL'!B69 = "", "", '0 AVAL'!B69)</f>
        <v/>
      </c>
      <c r="C61" s="163">
        <f>IF('0 AVAL'!C69 = "", "", '0 AVAL'!C69)</f>
        <v/>
      </c>
      <c r="D61" s="145" t="n"/>
      <c r="E61" s="374" t="n"/>
      <c r="F61" s="375" t="n"/>
      <c r="G61" s="375" t="n"/>
      <c r="H61" s="375" t="n"/>
      <c r="I61" s="375" t="n"/>
      <c r="J61" s="375" t="n"/>
      <c r="K61" s="375" t="n"/>
      <c r="L61" s="375" t="n"/>
      <c r="M61" s="375" t="n"/>
      <c r="N61" s="376" t="n"/>
    </row>
    <row r="62" ht="47.25" customHeight="1">
      <c r="A62" s="188" t="n">
        <v>35</v>
      </c>
      <c r="B62" s="163">
        <f>IF('0 AVAL'!B70 = "", "", '0 AVAL'!B70)</f>
        <v/>
      </c>
      <c r="C62" s="163">
        <f>IF('0 AVAL'!C70 = "", "", '0 AVAL'!C70)</f>
        <v/>
      </c>
      <c r="D62" s="145" t="n"/>
      <c r="E62" s="374" t="n"/>
      <c r="F62" s="375" t="n"/>
      <c r="G62" s="375" t="n"/>
      <c r="H62" s="375" t="n"/>
      <c r="I62" s="375" t="n"/>
      <c r="J62" s="375" t="n"/>
      <c r="K62" s="375" t="n"/>
      <c r="L62" s="375" t="n"/>
      <c r="M62" s="375" t="n"/>
      <c r="N62" s="376" t="n"/>
    </row>
    <row r="63" ht="47.25" customHeight="1">
      <c r="A63" s="188" t="n">
        <v>36</v>
      </c>
      <c r="B63" s="163">
        <f>IF('0 AVAL'!B71 = "", "", '0 AVAL'!B71)</f>
        <v/>
      </c>
      <c r="C63" s="163">
        <f>IF('0 AVAL'!C71 = "", "", '0 AVAL'!C71)</f>
        <v/>
      </c>
      <c r="D63" s="145" t="n"/>
      <c r="E63" s="442" t="n"/>
      <c r="F63" s="387" t="n"/>
      <c r="G63" s="387" t="n"/>
      <c r="H63" s="387" t="n"/>
      <c r="I63" s="387" t="n"/>
      <c r="J63" s="387" t="n"/>
      <c r="K63" s="387" t="n"/>
      <c r="L63" s="387" t="n"/>
      <c r="M63" s="387" t="n"/>
      <c r="N63" s="406" t="n"/>
    </row>
    <row r="64" ht="47.25" customHeight="1">
      <c r="A64" s="188" t="n">
        <v>37</v>
      </c>
      <c r="B64" s="163">
        <f>IF('0 AVAL'!B72 = "", "", '0 AVAL'!B72)</f>
        <v/>
      </c>
      <c r="C64" s="163">
        <f>IF('0 AVAL'!C72 = "", "", '0 AVAL'!C72)</f>
        <v/>
      </c>
      <c r="D64" s="145" t="n"/>
      <c r="E64" s="442" t="n"/>
      <c r="F64" s="387" t="n"/>
      <c r="G64" s="387" t="n"/>
      <c r="H64" s="387" t="n"/>
      <c r="I64" s="387" t="n"/>
      <c r="J64" s="387" t="n"/>
      <c r="K64" s="387" t="n"/>
      <c r="L64" s="387" t="n"/>
      <c r="M64" s="387" t="n"/>
      <c r="N64" s="406" t="n"/>
    </row>
    <row r="65" ht="47.25" customHeight="1">
      <c r="A65" s="188" t="n">
        <v>38</v>
      </c>
      <c r="B65" s="163">
        <f>IF('0 AVAL'!B73 = "", "", '0 AVAL'!B73)</f>
        <v/>
      </c>
      <c r="C65" s="163">
        <f>IF('0 AVAL'!C73 = "", "", '0 AVAL'!C73)</f>
        <v/>
      </c>
      <c r="D65" s="145" t="n"/>
      <c r="E65" s="442" t="n"/>
      <c r="F65" s="387" t="n"/>
      <c r="G65" s="387" t="n"/>
      <c r="H65" s="387" t="n"/>
      <c r="I65" s="387" t="n"/>
      <c r="J65" s="387" t="n"/>
      <c r="K65" s="387" t="n"/>
      <c r="L65" s="387" t="n"/>
      <c r="M65" s="387" t="n"/>
      <c r="N65" s="406" t="n"/>
    </row>
    <row r="66" ht="47.25" customHeight="1">
      <c r="A66" s="188" t="n">
        <v>39</v>
      </c>
      <c r="B66" s="163">
        <f>IF('0 AVAL'!B74 = "", "", '0 AVAL'!B74)</f>
        <v/>
      </c>
      <c r="C66" s="163">
        <f>IF('0 AVAL'!C74 = "", "", '0 AVAL'!C74)</f>
        <v/>
      </c>
      <c r="D66" s="145" t="n"/>
      <c r="E66" s="442" t="n"/>
      <c r="F66" s="387" t="n"/>
      <c r="G66" s="387" t="n"/>
      <c r="H66" s="387" t="n"/>
      <c r="I66" s="387" t="n"/>
      <c r="J66" s="387" t="n"/>
      <c r="K66" s="387" t="n"/>
      <c r="L66" s="387" t="n"/>
      <c r="M66" s="387" t="n"/>
      <c r="N66" s="406" t="n"/>
    </row>
    <row r="67" ht="54" customHeight="1">
      <c r="A67" s="188" t="n">
        <v>40</v>
      </c>
      <c r="B67" s="163">
        <f>IF('0 AVAL'!B75 = "", "", '0 AVAL'!B75)</f>
        <v/>
      </c>
      <c r="C67" s="163">
        <f>IF('0 AVAL'!C75 = "", "", '0 AVAL'!C75)</f>
        <v/>
      </c>
      <c r="D67" s="145" t="n"/>
      <c r="E67" s="442" t="n"/>
      <c r="F67" s="387" t="n"/>
      <c r="G67" s="387" t="n"/>
      <c r="H67" s="387" t="n"/>
      <c r="I67" s="387" t="n"/>
      <c r="J67" s="387" t="n"/>
      <c r="K67" s="387" t="n"/>
      <c r="L67" s="387" t="n"/>
      <c r="M67" s="387" t="n"/>
      <c r="N67" s="406" t="n"/>
    </row>
    <row r="68" ht="21.75" customHeight="1" thickBot="1"/>
    <row r="69" ht="54" customFormat="1" customHeight="1" s="37" thickBot="1">
      <c r="B69" s="443" t="inlineStr">
        <is>
          <t>4- Acords adoptats de caràcter col·legiat per l'equip docent. A partir dels resultats de les avaluacions del procés d'aprenentatge, es redefiniran propostes de millora del procés d'ensenyament.</t>
        </is>
      </c>
      <c r="C69" s="419" t="n"/>
      <c r="D69" s="419" t="n"/>
      <c r="E69" s="419" t="n"/>
      <c r="F69" s="419" t="n"/>
      <c r="G69" s="419" t="n"/>
      <c r="H69" s="419" t="n"/>
      <c r="I69" s="419" t="n"/>
      <c r="J69" s="419" t="n"/>
      <c r="K69" s="419" t="n"/>
      <c r="L69" s="419" t="n"/>
      <c r="M69" s="419" t="n"/>
      <c r="N69" s="420" t="n"/>
    </row>
    <row r="70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 ht="34.5" customFormat="1" customHeight="1" s="29">
      <c r="A71" s="129" t="n">
        <v>1</v>
      </c>
      <c r="B71" s="281" t="n"/>
      <c r="C71" s="387" t="n"/>
      <c r="D71" s="387" t="n"/>
      <c r="E71" s="387" t="n"/>
      <c r="F71" s="387" t="n"/>
      <c r="G71" s="387" t="n"/>
      <c r="H71" s="387" t="n"/>
      <c r="I71" s="387" t="n"/>
      <c r="J71" s="421" t="inlineStr">
        <is>
          <t xml:space="preserve">Acta elaborada per: XXXXX. XX:XXh </t>
        </is>
      </c>
      <c r="K71" s="398" t="n"/>
      <c r="L71" s="398" t="n"/>
      <c r="M71" s="398" t="n"/>
      <c r="N71" s="399" t="n"/>
    </row>
    <row r="72" ht="34.5" customFormat="1" customHeight="1" s="29">
      <c r="A72" s="129" t="n">
        <v>2</v>
      </c>
      <c r="B72" s="325" t="n"/>
      <c r="C72" s="394" t="n"/>
      <c r="D72" s="394" t="n"/>
      <c r="E72" s="394" t="n"/>
      <c r="F72" s="394" t="n"/>
      <c r="G72" s="394" t="n"/>
      <c r="H72" s="394" t="n"/>
      <c r="I72" s="394" t="n"/>
      <c r="J72" s="400" t="n"/>
      <c r="N72" s="401" t="n"/>
    </row>
    <row r="73" ht="34.5" customFormat="1" customHeight="1" s="29">
      <c r="A73" s="129" t="n">
        <v>3</v>
      </c>
      <c r="B73" s="325" t="n"/>
      <c r="C73" s="394" t="n"/>
      <c r="D73" s="394" t="n"/>
      <c r="E73" s="394" t="n"/>
      <c r="F73" s="394" t="n"/>
      <c r="G73" s="394" t="n"/>
      <c r="H73" s="394" t="n"/>
      <c r="I73" s="394" t="n"/>
      <c r="J73" s="400" t="n"/>
      <c r="N73" s="401" t="n"/>
    </row>
    <row r="74" ht="34.5" customFormat="1" customHeight="1" s="29">
      <c r="A74" s="129" t="n">
        <v>4</v>
      </c>
      <c r="B74" s="325" t="n"/>
      <c r="C74" s="394" t="n"/>
      <c r="D74" s="394" t="n"/>
      <c r="E74" s="394" t="n"/>
      <c r="F74" s="394" t="n"/>
      <c r="G74" s="394" t="n"/>
      <c r="H74" s="394" t="n"/>
      <c r="I74" s="394" t="n"/>
      <c r="J74" s="400" t="n"/>
      <c r="N74" s="401" t="n"/>
    </row>
    <row r="75" ht="34.5" customFormat="1" customHeight="1" s="29">
      <c r="A75" s="129" t="n">
        <v>5</v>
      </c>
      <c r="B75" s="325" t="n"/>
      <c r="C75" s="394" t="n"/>
      <c r="D75" s="394" t="n"/>
      <c r="E75" s="394" t="n"/>
      <c r="F75" s="394" t="n"/>
      <c r="G75" s="394" t="n"/>
      <c r="H75" s="394" t="n"/>
      <c r="I75" s="394" t="n"/>
      <c r="J75" s="400" t="n"/>
      <c r="N75" s="401" t="n"/>
    </row>
    <row r="76" ht="34.5" customFormat="1" customHeight="1" s="29">
      <c r="A76" s="129" t="n">
        <v>6</v>
      </c>
      <c r="B76" s="325" t="n"/>
      <c r="C76" s="394" t="n"/>
      <c r="D76" s="394" t="n"/>
      <c r="E76" s="394" t="n"/>
      <c r="F76" s="394" t="n"/>
      <c r="G76" s="394" t="n"/>
      <c r="H76" s="394" t="n"/>
      <c r="I76" s="394" t="n"/>
      <c r="J76" s="400" t="n"/>
      <c r="N76" s="401" t="n"/>
    </row>
    <row r="77" ht="34.5" customFormat="1" customHeight="1" s="29" thickBot="1">
      <c r="A77" s="129" t="n">
        <v>7</v>
      </c>
      <c r="B77" s="319" t="n"/>
      <c r="C77" s="403" t="n"/>
      <c r="D77" s="403" t="n"/>
      <c r="E77" s="403" t="n"/>
      <c r="F77" s="403" t="n"/>
      <c r="G77" s="403" t="n"/>
      <c r="H77" s="403" t="n"/>
      <c r="I77" s="403" t="n"/>
      <c r="J77" s="402" t="n"/>
      <c r="K77" s="403" t="n"/>
      <c r="L77" s="403" t="n"/>
      <c r="M77" s="403" t="n"/>
      <c r="N77" s="404" t="n"/>
    </row>
    <row r="78">
      <c r="B78" s="282" t="inlineStr">
        <is>
          <t>En aquest document s'està realitzant un tractament de dades de l'alumnat que està regulat per la normativa vigent en matèria de Protecció de Dades de Caràcter Personal (LOPD 3/2018 i Resolució Conselleria
Educació, Investigació, Cultura i Esport del 28/6/2018). Recorda que les dades han de ser tractats de manera responsable i que has de guardar secret professional i no cedir o divulgar les dades ací contingudes.</t>
        </is>
      </c>
      <c r="C78" s="386" t="n"/>
      <c r="D78" s="386" t="n"/>
      <c r="E78" s="386" t="n"/>
      <c r="F78" s="386" t="n"/>
      <c r="G78" s="386" t="n"/>
      <c r="H78" s="386" t="n"/>
      <c r="I78" s="386" t="n"/>
      <c r="J78" s="386" t="n"/>
      <c r="K78" s="386" t="n"/>
      <c r="L78" s="386" t="n"/>
      <c r="M78" s="386" t="n"/>
      <c r="N78" s="386" t="n"/>
    </row>
    <row r="79" ht="15.6" customHeight="1"/>
  </sheetData>
  <mergeCells count="66">
    <mergeCell ref="E36:N36"/>
    <mergeCell ref="E49:N49"/>
    <mergeCell ref="E27:N27"/>
    <mergeCell ref="E45:N45"/>
    <mergeCell ref="B75:I75"/>
    <mergeCell ref="B11:M11"/>
    <mergeCell ref="B9:N9"/>
    <mergeCell ref="D2:F6"/>
    <mergeCell ref="E57:N57"/>
    <mergeCell ref="J3:M3"/>
    <mergeCell ref="B72:I72"/>
    <mergeCell ref="B14:M14"/>
    <mergeCell ref="N14:Y14"/>
    <mergeCell ref="B15:N15"/>
    <mergeCell ref="E54:N54"/>
    <mergeCell ref="B71:I71"/>
    <mergeCell ref="E32:N32"/>
    <mergeCell ref="B20:N20"/>
    <mergeCell ref="E41:N41"/>
    <mergeCell ref="E66:N66"/>
    <mergeCell ref="E37:N37"/>
    <mergeCell ref="E53:N53"/>
    <mergeCell ref="B77:I77"/>
    <mergeCell ref="E47:N47"/>
    <mergeCell ref="E56:N56"/>
    <mergeCell ref="E50:N50"/>
    <mergeCell ref="B2:C6"/>
    <mergeCell ref="E43:N43"/>
    <mergeCell ref="B78:N79"/>
    <mergeCell ref="B25:N25"/>
    <mergeCell ref="J5:M5"/>
    <mergeCell ref="E55:N55"/>
    <mergeCell ref="E42:N42"/>
    <mergeCell ref="B73:I73"/>
    <mergeCell ref="E52:N52"/>
    <mergeCell ref="E67:N67"/>
    <mergeCell ref="E33:N33"/>
    <mergeCell ref="G2:G6"/>
    <mergeCell ref="E39:N39"/>
    <mergeCell ref="E48:N48"/>
    <mergeCell ref="B12:N12"/>
    <mergeCell ref="E64:N64"/>
    <mergeCell ref="E44:N44"/>
    <mergeCell ref="B18:N18"/>
    <mergeCell ref="E29:N29"/>
    <mergeCell ref="E35:N35"/>
    <mergeCell ref="E51:N51"/>
    <mergeCell ref="J6:M6"/>
    <mergeCell ref="E38:N38"/>
    <mergeCell ref="E63:N63"/>
    <mergeCell ref="E28:N28"/>
    <mergeCell ref="B74:I74"/>
    <mergeCell ref="N11:Y11"/>
    <mergeCell ref="E31:N31"/>
    <mergeCell ref="E40:N40"/>
    <mergeCell ref="E34:N34"/>
    <mergeCell ref="J4:M4"/>
    <mergeCell ref="J2:N2"/>
    <mergeCell ref="E65:N65"/>
    <mergeCell ref="E30:N30"/>
    <mergeCell ref="B22:N23"/>
    <mergeCell ref="B76:I76"/>
    <mergeCell ref="B69:N69"/>
    <mergeCell ref="J7:M7"/>
    <mergeCell ref="E46:N46"/>
    <mergeCell ref="J71:N77"/>
  </mergeCells>
  <dataValidations count="1">
    <dataValidation sqref="J7:M7" showDropDown="0" showInputMessage="1" showErrorMessage="1" allowBlank="1" type="date">
      <formula1>45170</formula1>
      <formula2>47664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8" customWidth="1" min="7" max="7"/>
    <col width="15" customWidth="1" min="8" max="8"/>
    <col width="25" customWidth="1" min="9" max="9"/>
    <col width="8" customWidth="1" min="10" max="10"/>
    <col width="8" customWidth="1" min="11" max="11"/>
    <col width="12" customWidth="1" min="12" max="12"/>
    <col width="15" customWidth="1" min="13" max="13"/>
    <col width="15" customWidth="1" min="14" max="14"/>
    <col width="25" customWidth="1" min="15" max="15"/>
    <col width="25" customWidth="1" min="16" max="16"/>
    <col width="15" customWidth="1" min="17" max="17"/>
    <col width="10" customWidth="1" min="18" max="18"/>
    <col width="8" customWidth="1" min="19" max="19"/>
    <col width="10" customWidth="1" min="20" max="20"/>
    <col width="8" customWidth="1" min="21" max="21"/>
  </cols>
  <sheetData>
    <row r="1">
      <c r="I1" t="inlineStr">
        <is>
          <t>Ficha Alumno</t>
        </is>
      </c>
      <c r="L1" t="inlineStr">
        <is>
          <t>Ed.02 - Setem.25</t>
        </is>
      </c>
    </row>
    <row r="3">
      <c r="I3" t="inlineStr">
        <is>
          <t>GRUP</t>
        </is>
      </c>
      <c r="J3">
        <f>IF(INDEX!G3 = "", "", INDEX!G3)</f>
        <v/>
      </c>
    </row>
    <row r="4">
      <c r="I4" t="inlineStr">
        <is>
          <t>TUTOR/A</t>
        </is>
      </c>
      <c r="J4">
        <f>IF(INDEX!G4 = "", "", INDEX!G4)</f>
        <v/>
      </c>
    </row>
    <row r="5">
      <c r="I5" t="inlineStr">
        <is>
          <t>CURS ESCOLAR</t>
        </is>
      </c>
      <c r="J5">
        <f>INDEX!G5</f>
        <v/>
      </c>
    </row>
    <row r="8">
      <c r="A8" s="444" t="inlineStr">
        <is>
          <t>#</t>
        </is>
      </c>
      <c r="B8" s="444" t="inlineStr">
        <is>
          <t>NIA</t>
        </is>
      </c>
      <c r="C8" s="444" t="inlineStr">
        <is>
          <t>Nombre</t>
        </is>
      </c>
      <c r="D8" s="444" t="inlineStr">
        <is>
          <t>Apellido 1</t>
        </is>
      </c>
      <c r="E8" s="444" t="inlineStr">
        <is>
          <t>Apellido 2</t>
        </is>
      </c>
      <c r="F8" s="444" t="inlineStr">
        <is>
          <t>Fecha Nac.</t>
        </is>
      </c>
      <c r="G8" s="444" t="inlineStr">
        <is>
          <t>Sexo</t>
        </is>
      </c>
      <c r="H8" s="444" t="inlineStr">
        <is>
          <t>Documento</t>
        </is>
      </c>
      <c r="I8" s="444" t="inlineStr">
        <is>
          <t>Domicilio</t>
        </is>
      </c>
      <c r="J8" s="444" t="inlineStr">
        <is>
          <t>Número</t>
        </is>
      </c>
      <c r="K8" s="444" t="inlineStr">
        <is>
          <t>Puerta</t>
        </is>
      </c>
      <c r="L8" s="444" t="inlineStr">
        <is>
          <t>Cód. Postal</t>
        </is>
      </c>
      <c r="M8" s="444" t="inlineStr">
        <is>
          <t>Teléfono 1</t>
        </is>
      </c>
      <c r="N8" s="444" t="inlineStr">
        <is>
          <t>Teléfono 2</t>
        </is>
      </c>
      <c r="O8" s="444" t="inlineStr">
        <is>
          <t>Email 1</t>
        </is>
      </c>
      <c r="P8" s="444" t="inlineStr">
        <is>
          <t>Email 2</t>
        </is>
      </c>
      <c r="Q8" s="444" t="inlineStr">
        <is>
          <t>Enseñanza</t>
        </is>
      </c>
      <c r="R8" s="444" t="inlineStr">
        <is>
          <t>Curso</t>
        </is>
      </c>
      <c r="S8" s="444" t="inlineStr">
        <is>
          <t>Grupo</t>
        </is>
      </c>
      <c r="T8" s="444" t="inlineStr">
        <is>
          <t>Turno</t>
        </is>
      </c>
      <c r="U8" s="444" t="inlineStr">
        <is>
          <t>Repite</t>
        </is>
      </c>
    </row>
    <row r="9">
      <c r="A9" s="445" t="n">
        <v>1</v>
      </c>
      <c r="B9" s="445" t="n"/>
      <c r="C9" s="445" t="n"/>
      <c r="D9" s="445" t="n"/>
      <c r="E9" s="445" t="n"/>
      <c r="F9" s="445" t="n"/>
      <c r="G9" s="445" t="n"/>
      <c r="H9" s="445" t="n"/>
      <c r="I9" s="445" t="n"/>
      <c r="J9" s="445" t="n"/>
      <c r="K9" s="445" t="n"/>
      <c r="L9" s="445" t="n"/>
      <c r="M9" s="445" t="n"/>
      <c r="N9" s="445" t="n"/>
      <c r="O9" s="445" t="n"/>
      <c r="P9" s="445" t="n"/>
      <c r="Q9" s="445" t="n"/>
      <c r="R9" s="445" t="n"/>
      <c r="S9" s="445" t="n"/>
      <c r="T9" s="445" t="n"/>
      <c r="U9" s="445" t="n"/>
    </row>
    <row r="10">
      <c r="A10" s="445" t="n">
        <v>2</v>
      </c>
      <c r="B10" s="445" t="n"/>
      <c r="C10" s="445" t="n"/>
      <c r="D10" s="445" t="n"/>
      <c r="E10" s="445" t="n"/>
      <c r="F10" s="445" t="n"/>
      <c r="G10" s="445" t="n"/>
      <c r="H10" s="445" t="n"/>
      <c r="I10" s="445" t="n"/>
      <c r="J10" s="445" t="n"/>
      <c r="K10" s="445" t="n"/>
      <c r="L10" s="445" t="n"/>
      <c r="M10" s="445" t="n"/>
      <c r="N10" s="445" t="n"/>
      <c r="O10" s="445" t="n"/>
      <c r="P10" s="445" t="n"/>
      <c r="Q10" s="445" t="n"/>
      <c r="R10" s="445" t="n"/>
      <c r="S10" s="445" t="n"/>
      <c r="T10" s="445" t="n"/>
      <c r="U10" s="445" t="n"/>
    </row>
    <row r="11">
      <c r="A11" s="445" t="n">
        <v>3</v>
      </c>
      <c r="B11" s="445" t="n"/>
      <c r="C11" s="445" t="n"/>
      <c r="D11" s="445" t="n"/>
      <c r="E11" s="445" t="n"/>
      <c r="F11" s="445" t="n"/>
      <c r="G11" s="445" t="n"/>
      <c r="H11" s="445" t="n"/>
      <c r="I11" s="445" t="n"/>
      <c r="J11" s="445" t="n"/>
      <c r="K11" s="445" t="n"/>
      <c r="L11" s="445" t="n"/>
      <c r="M11" s="445" t="n"/>
      <c r="N11" s="445" t="n"/>
      <c r="O11" s="445" t="n"/>
      <c r="P11" s="445" t="n"/>
      <c r="Q11" s="445" t="n"/>
      <c r="R11" s="445" t="n"/>
      <c r="S11" s="445" t="n"/>
      <c r="T11" s="445" t="n"/>
      <c r="U11" s="445" t="n"/>
    </row>
    <row r="12">
      <c r="A12" s="445" t="n">
        <v>4</v>
      </c>
      <c r="B12" s="445" t="n"/>
      <c r="C12" s="445" t="n"/>
      <c r="D12" s="445" t="n"/>
      <c r="E12" s="445" t="n"/>
      <c r="F12" s="445" t="n"/>
      <c r="G12" s="445" t="n"/>
      <c r="H12" s="445" t="n"/>
      <c r="I12" s="445" t="n"/>
      <c r="J12" s="445" t="n"/>
      <c r="K12" s="445" t="n"/>
      <c r="L12" s="445" t="n"/>
      <c r="M12" s="445" t="n"/>
      <c r="N12" s="445" t="n"/>
      <c r="O12" s="445" t="n"/>
      <c r="P12" s="445" t="n"/>
      <c r="Q12" s="445" t="n"/>
      <c r="R12" s="445" t="n"/>
      <c r="S12" s="445" t="n"/>
      <c r="T12" s="445" t="n"/>
      <c r="U12" s="445" t="n"/>
    </row>
    <row r="13">
      <c r="A13" s="445" t="n">
        <v>5</v>
      </c>
      <c r="B13" s="445" t="n"/>
      <c r="C13" s="445" t="n"/>
      <c r="D13" s="445" t="n"/>
      <c r="E13" s="445" t="n"/>
      <c r="F13" s="445" t="n"/>
      <c r="G13" s="445" t="n"/>
      <c r="H13" s="445" t="n"/>
      <c r="I13" s="445" t="n"/>
      <c r="J13" s="445" t="n"/>
      <c r="K13" s="445" t="n"/>
      <c r="L13" s="445" t="n"/>
      <c r="M13" s="445" t="n"/>
      <c r="N13" s="445" t="n"/>
      <c r="O13" s="445" t="n"/>
      <c r="P13" s="445" t="n"/>
      <c r="Q13" s="445" t="n"/>
      <c r="R13" s="445" t="n"/>
      <c r="S13" s="445" t="n"/>
      <c r="T13" s="445" t="n"/>
      <c r="U13" s="445" t="n"/>
    </row>
    <row r="14">
      <c r="A14" s="445" t="n">
        <v>6</v>
      </c>
      <c r="B14" s="445" t="n"/>
      <c r="C14" s="445" t="n"/>
      <c r="D14" s="445" t="n"/>
      <c r="E14" s="445" t="n"/>
      <c r="F14" s="445" t="n"/>
      <c r="G14" s="445" t="n"/>
      <c r="H14" s="445" t="n"/>
      <c r="I14" s="445" t="n"/>
      <c r="J14" s="445" t="n"/>
      <c r="K14" s="445" t="n"/>
      <c r="L14" s="445" t="n"/>
      <c r="M14" s="445" t="n"/>
      <c r="N14" s="445" t="n"/>
      <c r="O14" s="445" t="n"/>
      <c r="P14" s="445" t="n"/>
      <c r="Q14" s="445" t="n"/>
      <c r="R14" s="445" t="n"/>
      <c r="S14" s="445" t="n"/>
      <c r="T14" s="445" t="n"/>
      <c r="U14" s="445" t="n"/>
    </row>
    <row r="15">
      <c r="A15" s="445" t="n">
        <v>7</v>
      </c>
      <c r="B15" s="445" t="n"/>
      <c r="C15" s="445" t="n"/>
      <c r="D15" s="445" t="n"/>
      <c r="E15" s="445" t="n"/>
      <c r="F15" s="445" t="n"/>
      <c r="G15" s="445" t="n"/>
      <c r="H15" s="445" t="n"/>
      <c r="I15" s="445" t="n"/>
      <c r="J15" s="445" t="n"/>
      <c r="K15" s="445" t="n"/>
      <c r="L15" s="445" t="n"/>
      <c r="M15" s="445" t="n"/>
      <c r="N15" s="445" t="n"/>
      <c r="O15" s="445" t="n"/>
      <c r="P15" s="445" t="n"/>
      <c r="Q15" s="445" t="n"/>
      <c r="R15" s="445" t="n"/>
      <c r="S15" s="445" t="n"/>
      <c r="T15" s="445" t="n"/>
      <c r="U15" s="445" t="n"/>
    </row>
    <row r="16">
      <c r="A16" s="445" t="n">
        <v>8</v>
      </c>
      <c r="B16" s="445" t="n"/>
      <c r="C16" s="445" t="n"/>
      <c r="D16" s="445" t="n"/>
      <c r="E16" s="445" t="n"/>
      <c r="F16" s="445" t="n"/>
      <c r="G16" s="445" t="n"/>
      <c r="H16" s="445" t="n"/>
      <c r="I16" s="445" t="n"/>
      <c r="J16" s="445" t="n"/>
      <c r="K16" s="445" t="n"/>
      <c r="L16" s="445" t="n"/>
      <c r="M16" s="445" t="n"/>
      <c r="N16" s="445" t="n"/>
      <c r="O16" s="445" t="n"/>
      <c r="P16" s="445" t="n"/>
      <c r="Q16" s="445" t="n"/>
      <c r="R16" s="445" t="n"/>
      <c r="S16" s="445" t="n"/>
      <c r="T16" s="445" t="n"/>
      <c r="U16" s="445" t="n"/>
    </row>
    <row r="17">
      <c r="A17" s="445" t="n">
        <v>9</v>
      </c>
      <c r="B17" s="445" t="n"/>
      <c r="C17" s="445" t="n"/>
      <c r="D17" s="445" t="n"/>
      <c r="E17" s="445" t="n"/>
      <c r="F17" s="445" t="n"/>
      <c r="G17" s="445" t="n"/>
      <c r="H17" s="445" t="n"/>
      <c r="I17" s="445" t="n"/>
      <c r="J17" s="445" t="n"/>
      <c r="K17" s="445" t="n"/>
      <c r="L17" s="445" t="n"/>
      <c r="M17" s="445" t="n"/>
      <c r="N17" s="445" t="n"/>
      <c r="O17" s="445" t="n"/>
      <c r="P17" s="445" t="n"/>
      <c r="Q17" s="445" t="n"/>
      <c r="R17" s="445" t="n"/>
      <c r="S17" s="445" t="n"/>
      <c r="T17" s="445" t="n"/>
      <c r="U17" s="445" t="n"/>
    </row>
    <row r="18">
      <c r="A18" s="445" t="n">
        <v>10</v>
      </c>
      <c r="B18" s="445" t="n"/>
      <c r="C18" s="445" t="n"/>
      <c r="D18" s="445" t="n"/>
      <c r="E18" s="445" t="n"/>
      <c r="F18" s="445" t="n"/>
      <c r="G18" s="445" t="n"/>
      <c r="H18" s="445" t="n"/>
      <c r="I18" s="445" t="n"/>
      <c r="J18" s="445" t="n"/>
      <c r="K18" s="445" t="n"/>
      <c r="L18" s="445" t="n"/>
      <c r="M18" s="445" t="n"/>
      <c r="N18" s="445" t="n"/>
      <c r="O18" s="445" t="n"/>
      <c r="P18" s="445" t="n"/>
      <c r="Q18" s="445" t="n"/>
      <c r="R18" s="445" t="n"/>
      <c r="S18" s="445" t="n"/>
      <c r="T18" s="445" t="n"/>
      <c r="U18" s="445" t="n"/>
    </row>
    <row r="19">
      <c r="A19" s="445" t="n">
        <v>11</v>
      </c>
      <c r="B19" s="445" t="n"/>
      <c r="C19" s="445" t="n"/>
      <c r="D19" s="445" t="n"/>
      <c r="E19" s="445" t="n"/>
      <c r="F19" s="445" t="n"/>
      <c r="G19" s="445" t="n"/>
      <c r="H19" s="445" t="n"/>
      <c r="I19" s="445" t="n"/>
      <c r="J19" s="445" t="n"/>
      <c r="K19" s="445" t="n"/>
      <c r="L19" s="445" t="n"/>
      <c r="M19" s="445" t="n"/>
      <c r="N19" s="445" t="n"/>
      <c r="O19" s="445" t="n"/>
      <c r="P19" s="445" t="n"/>
      <c r="Q19" s="445" t="n"/>
      <c r="R19" s="445" t="n"/>
      <c r="S19" s="445" t="n"/>
      <c r="T19" s="445" t="n"/>
      <c r="U19" s="445" t="n"/>
    </row>
    <row r="20">
      <c r="A20" s="445" t="n">
        <v>12</v>
      </c>
      <c r="B20" s="445" t="n"/>
      <c r="C20" s="445" t="n"/>
      <c r="D20" s="445" t="n"/>
      <c r="E20" s="445" t="n"/>
      <c r="F20" s="445" t="n"/>
      <c r="G20" s="445" t="n"/>
      <c r="H20" s="445" t="n"/>
      <c r="I20" s="445" t="n"/>
      <c r="J20" s="445" t="n"/>
      <c r="K20" s="445" t="n"/>
      <c r="L20" s="445" t="n"/>
      <c r="M20" s="445" t="n"/>
      <c r="N20" s="445" t="n"/>
      <c r="O20" s="445" t="n"/>
      <c r="P20" s="445" t="n"/>
      <c r="Q20" s="445" t="n"/>
      <c r="R20" s="445" t="n"/>
      <c r="S20" s="445" t="n"/>
      <c r="T20" s="445" t="n"/>
      <c r="U20" s="445" t="n"/>
    </row>
    <row r="21">
      <c r="A21" s="445" t="n">
        <v>13</v>
      </c>
      <c r="B21" s="445" t="n"/>
      <c r="C21" s="445" t="n"/>
      <c r="D21" s="445" t="n"/>
      <c r="E21" s="445" t="n"/>
      <c r="F21" s="445" t="n"/>
      <c r="G21" s="445" t="n"/>
      <c r="H21" s="445" t="n"/>
      <c r="I21" s="445" t="n"/>
      <c r="J21" s="445" t="n"/>
      <c r="K21" s="445" t="n"/>
      <c r="L21" s="445" t="n"/>
      <c r="M21" s="445" t="n"/>
      <c r="N21" s="445" t="n"/>
      <c r="O21" s="445" t="n"/>
      <c r="P21" s="445" t="n"/>
      <c r="Q21" s="445" t="n"/>
      <c r="R21" s="445" t="n"/>
      <c r="S21" s="445" t="n"/>
      <c r="T21" s="445" t="n"/>
      <c r="U21" s="445" t="n"/>
    </row>
    <row r="22">
      <c r="A22" s="445" t="n">
        <v>14</v>
      </c>
      <c r="B22" s="445" t="n"/>
      <c r="C22" s="445" t="n"/>
      <c r="D22" s="445" t="n"/>
      <c r="E22" s="445" t="n"/>
      <c r="F22" s="445" t="n"/>
      <c r="G22" s="445" t="n"/>
      <c r="H22" s="445" t="n"/>
      <c r="I22" s="445" t="n"/>
      <c r="J22" s="445" t="n"/>
      <c r="K22" s="445" t="n"/>
      <c r="L22" s="445" t="n"/>
      <c r="M22" s="445" t="n"/>
      <c r="N22" s="445" t="n"/>
      <c r="O22" s="445" t="n"/>
      <c r="P22" s="445" t="n"/>
      <c r="Q22" s="445" t="n"/>
      <c r="R22" s="445" t="n"/>
      <c r="S22" s="445" t="n"/>
      <c r="T22" s="445" t="n"/>
      <c r="U22" s="445" t="n"/>
    </row>
    <row r="23">
      <c r="A23" s="445" t="n">
        <v>15</v>
      </c>
      <c r="B23" s="445" t="n"/>
      <c r="C23" s="445" t="n"/>
      <c r="D23" s="445" t="n"/>
      <c r="E23" s="445" t="n"/>
      <c r="F23" s="445" t="n"/>
      <c r="G23" s="445" t="n"/>
      <c r="H23" s="445" t="n"/>
      <c r="I23" s="445" t="n"/>
      <c r="J23" s="445" t="n"/>
      <c r="K23" s="445" t="n"/>
      <c r="L23" s="445" t="n"/>
      <c r="M23" s="445" t="n"/>
      <c r="N23" s="445" t="n"/>
      <c r="O23" s="445" t="n"/>
      <c r="P23" s="445" t="n"/>
      <c r="Q23" s="445" t="n"/>
      <c r="R23" s="445" t="n"/>
      <c r="S23" s="445" t="n"/>
      <c r="T23" s="445" t="n"/>
      <c r="U23" s="445" t="n"/>
    </row>
    <row r="24">
      <c r="A24" s="445" t="n">
        <v>16</v>
      </c>
      <c r="B24" s="445" t="n"/>
      <c r="C24" s="445" t="n"/>
      <c r="D24" s="445" t="n"/>
      <c r="E24" s="445" t="n"/>
      <c r="F24" s="445" t="n"/>
      <c r="G24" s="445" t="n"/>
      <c r="H24" s="445" t="n"/>
      <c r="I24" s="445" t="n"/>
      <c r="J24" s="445" t="n"/>
      <c r="K24" s="445" t="n"/>
      <c r="L24" s="445" t="n"/>
      <c r="M24" s="445" t="n"/>
      <c r="N24" s="445" t="n"/>
      <c r="O24" s="445" t="n"/>
      <c r="P24" s="445" t="n"/>
      <c r="Q24" s="445" t="n"/>
      <c r="R24" s="445" t="n"/>
      <c r="S24" s="445" t="n"/>
      <c r="T24" s="445" t="n"/>
      <c r="U24" s="445" t="n"/>
    </row>
    <row r="25">
      <c r="A25" s="445" t="n">
        <v>17</v>
      </c>
      <c r="B25" s="445" t="n"/>
      <c r="C25" s="445" t="n"/>
      <c r="D25" s="445" t="n"/>
      <c r="E25" s="445" t="n"/>
      <c r="F25" s="445" t="n"/>
      <c r="G25" s="445" t="n"/>
      <c r="H25" s="445" t="n"/>
      <c r="I25" s="445" t="n"/>
      <c r="J25" s="445" t="n"/>
      <c r="K25" s="445" t="n"/>
      <c r="L25" s="445" t="n"/>
      <c r="M25" s="445" t="n"/>
      <c r="N25" s="445" t="n"/>
      <c r="O25" s="445" t="n"/>
      <c r="P25" s="445" t="n"/>
      <c r="Q25" s="445" t="n"/>
      <c r="R25" s="445" t="n"/>
      <c r="S25" s="445" t="n"/>
      <c r="T25" s="445" t="n"/>
      <c r="U25" s="445" t="n"/>
    </row>
    <row r="26">
      <c r="A26" s="445" t="n">
        <v>18</v>
      </c>
      <c r="B26" s="445" t="n"/>
      <c r="C26" s="445" t="n"/>
      <c r="D26" s="445" t="n"/>
      <c r="E26" s="445" t="n"/>
      <c r="F26" s="445" t="n"/>
      <c r="G26" s="445" t="n"/>
      <c r="H26" s="445" t="n"/>
      <c r="I26" s="445" t="n"/>
      <c r="J26" s="445" t="n"/>
      <c r="K26" s="445" t="n"/>
      <c r="L26" s="445" t="n"/>
      <c r="M26" s="445" t="n"/>
      <c r="N26" s="445" t="n"/>
      <c r="O26" s="445" t="n"/>
      <c r="P26" s="445" t="n"/>
      <c r="Q26" s="445" t="n"/>
      <c r="R26" s="445" t="n"/>
      <c r="S26" s="445" t="n"/>
      <c r="T26" s="445" t="n"/>
      <c r="U26" s="445" t="n"/>
    </row>
    <row r="27">
      <c r="A27" s="445" t="n">
        <v>19</v>
      </c>
      <c r="B27" s="445" t="n"/>
      <c r="C27" s="445" t="n"/>
      <c r="D27" s="445" t="n"/>
      <c r="E27" s="445" t="n"/>
      <c r="F27" s="445" t="n"/>
      <c r="G27" s="445" t="n"/>
      <c r="H27" s="445" t="n"/>
      <c r="I27" s="445" t="n"/>
      <c r="J27" s="445" t="n"/>
      <c r="K27" s="445" t="n"/>
      <c r="L27" s="445" t="n"/>
      <c r="M27" s="445" t="n"/>
      <c r="N27" s="445" t="n"/>
      <c r="O27" s="445" t="n"/>
      <c r="P27" s="445" t="n"/>
      <c r="Q27" s="445" t="n"/>
      <c r="R27" s="445" t="n"/>
      <c r="S27" s="445" t="n"/>
      <c r="T27" s="445" t="n"/>
      <c r="U27" s="445" t="n"/>
    </row>
    <row r="28">
      <c r="A28" s="445" t="n">
        <v>20</v>
      </c>
      <c r="B28" s="445" t="n"/>
      <c r="C28" s="445" t="n"/>
      <c r="D28" s="445" t="n"/>
      <c r="E28" s="445" t="n"/>
      <c r="F28" s="445" t="n"/>
      <c r="G28" s="445" t="n"/>
      <c r="H28" s="445" t="n"/>
      <c r="I28" s="445" t="n"/>
      <c r="J28" s="445" t="n"/>
      <c r="K28" s="445" t="n"/>
      <c r="L28" s="445" t="n"/>
      <c r="M28" s="445" t="n"/>
      <c r="N28" s="445" t="n"/>
      <c r="O28" s="445" t="n"/>
      <c r="P28" s="445" t="n"/>
      <c r="Q28" s="445" t="n"/>
      <c r="R28" s="445" t="n"/>
      <c r="S28" s="445" t="n"/>
      <c r="T28" s="445" t="n"/>
      <c r="U28" s="445" t="n"/>
    </row>
    <row r="29">
      <c r="A29" s="445" t="n">
        <v>21</v>
      </c>
      <c r="B29" s="445" t="n"/>
      <c r="C29" s="445" t="n"/>
      <c r="D29" s="445" t="n"/>
      <c r="E29" s="445" t="n"/>
      <c r="F29" s="445" t="n"/>
      <c r="G29" s="445" t="n"/>
      <c r="H29" s="445" t="n"/>
      <c r="I29" s="445" t="n"/>
      <c r="J29" s="445" t="n"/>
      <c r="K29" s="445" t="n"/>
      <c r="L29" s="445" t="n"/>
      <c r="M29" s="445" t="n"/>
      <c r="N29" s="445" t="n"/>
      <c r="O29" s="445" t="n"/>
      <c r="P29" s="445" t="n"/>
      <c r="Q29" s="445" t="n"/>
      <c r="R29" s="445" t="n"/>
      <c r="S29" s="445" t="n"/>
      <c r="T29" s="445" t="n"/>
      <c r="U29" s="445" t="n"/>
    </row>
    <row r="30">
      <c r="A30" s="445" t="n">
        <v>22</v>
      </c>
      <c r="B30" s="445" t="n"/>
      <c r="C30" s="445" t="n"/>
      <c r="D30" s="445" t="n"/>
      <c r="E30" s="445" t="n"/>
      <c r="F30" s="445" t="n"/>
      <c r="G30" s="445" t="n"/>
      <c r="H30" s="445" t="n"/>
      <c r="I30" s="445" t="n"/>
      <c r="J30" s="445" t="n"/>
      <c r="K30" s="445" t="n"/>
      <c r="L30" s="445" t="n"/>
      <c r="M30" s="445" t="n"/>
      <c r="N30" s="445" t="n"/>
      <c r="O30" s="445" t="n"/>
      <c r="P30" s="445" t="n"/>
      <c r="Q30" s="445" t="n"/>
      <c r="R30" s="445" t="n"/>
      <c r="S30" s="445" t="n"/>
      <c r="T30" s="445" t="n"/>
      <c r="U30" s="445" t="n"/>
    </row>
    <row r="31">
      <c r="A31" s="445" t="n">
        <v>23</v>
      </c>
      <c r="B31" s="445" t="n"/>
      <c r="C31" s="445" t="n"/>
      <c r="D31" s="445" t="n"/>
      <c r="E31" s="445" t="n"/>
      <c r="F31" s="445" t="n"/>
      <c r="G31" s="445" t="n"/>
      <c r="H31" s="445" t="n"/>
      <c r="I31" s="445" t="n"/>
      <c r="J31" s="445" t="n"/>
      <c r="K31" s="445" t="n"/>
      <c r="L31" s="445" t="n"/>
      <c r="M31" s="445" t="n"/>
      <c r="N31" s="445" t="n"/>
      <c r="O31" s="445" t="n"/>
      <c r="P31" s="445" t="n"/>
      <c r="Q31" s="445" t="n"/>
      <c r="R31" s="445" t="n"/>
      <c r="S31" s="445" t="n"/>
      <c r="T31" s="445" t="n"/>
      <c r="U31" s="445" t="n"/>
    </row>
    <row r="32">
      <c r="A32" s="445" t="n">
        <v>24</v>
      </c>
      <c r="B32" s="445" t="n"/>
      <c r="C32" s="445" t="n"/>
      <c r="D32" s="445" t="n"/>
      <c r="E32" s="445" t="n"/>
      <c r="F32" s="445" t="n"/>
      <c r="G32" s="445" t="n"/>
      <c r="H32" s="445" t="n"/>
      <c r="I32" s="445" t="n"/>
      <c r="J32" s="445" t="n"/>
      <c r="K32" s="445" t="n"/>
      <c r="L32" s="445" t="n"/>
      <c r="M32" s="445" t="n"/>
      <c r="N32" s="445" t="n"/>
      <c r="O32" s="445" t="n"/>
      <c r="P32" s="445" t="n"/>
      <c r="Q32" s="445" t="n"/>
      <c r="R32" s="445" t="n"/>
      <c r="S32" s="445" t="n"/>
      <c r="T32" s="445" t="n"/>
      <c r="U32" s="445" t="n"/>
    </row>
    <row r="33">
      <c r="A33" s="445" t="n">
        <v>25</v>
      </c>
      <c r="B33" s="445" t="n"/>
      <c r="C33" s="445" t="n"/>
      <c r="D33" s="445" t="n"/>
      <c r="E33" s="445" t="n"/>
      <c r="F33" s="445" t="n"/>
      <c r="G33" s="445" t="n"/>
      <c r="H33" s="445" t="n"/>
      <c r="I33" s="445" t="n"/>
      <c r="J33" s="445" t="n"/>
      <c r="K33" s="445" t="n"/>
      <c r="L33" s="445" t="n"/>
      <c r="M33" s="445" t="n"/>
      <c r="N33" s="445" t="n"/>
      <c r="O33" s="445" t="n"/>
      <c r="P33" s="445" t="n"/>
      <c r="Q33" s="445" t="n"/>
      <c r="R33" s="445" t="n"/>
      <c r="S33" s="445" t="n"/>
      <c r="T33" s="445" t="n"/>
      <c r="U33" s="44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Qiwei Liu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2026-02-02T04:52:52Z</dcterms:modified>
  <cp:lastModifiedBy>Qiwei Liu</cp:lastModifiedBy>
</cp:coreProperties>
</file>